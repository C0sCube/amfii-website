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Secured\ENS Funds\Insurance\Portfolio\Monthly\Working\2026\Feb 2026\Axis Max Life Insurance Co. Ltd\"/>
    </mc:Choice>
  </mc:AlternateContent>
  <xr:revisionPtr revIDLastSave="0" documentId="8_{9E4FAD04-6C48-4118-B50F-1A952F15E1E9}" xr6:coauthVersionLast="47" xr6:coauthVersionMax="47" xr10:uidLastSave="{00000000-0000-0000-0000-000000000000}"/>
  <bookViews>
    <workbookView xWindow="-120" yWindow="-120" windowWidth="20730" windowHeight="11040" tabRatio="853" xr2:uid="{924B0BF1-B07D-447E-AA43-475AE202A96E}"/>
  </bookViews>
  <sheets>
    <sheet name="Index" sheetId="1" r:id="rId1"/>
    <sheet name="Ul Life Growth Super Fund" sheetId="2" r:id="rId2"/>
    <sheet name="Max Life High Growth Fund" sheetId="3" r:id="rId3"/>
    <sheet name="Ul Life Growth Fund" sheetId="4" r:id="rId4"/>
    <sheet name="Ul Life Balanced Fund" sheetId="5" r:id="rId5"/>
    <sheet name="Ul Life Conservative Fund" sheetId="6" r:id="rId6"/>
    <sheet name="Max Life Ul Life Secured Fund" sheetId="7" r:id="rId7"/>
    <sheet name="Dynamic Opportuinities Fund" sheetId="8" r:id="rId8"/>
    <sheet name="Max Life Ul Money Market Fund" sheetId="9" r:id="rId9"/>
    <sheet name="Max Life Ul Secure Plus" sheetId="10" r:id="rId10"/>
    <sheet name="Guaranteed Fund‐ Dynamic" sheetId="11" r:id="rId11"/>
    <sheet name="Max Life Guaranteed Fund‐Income" sheetId="12" r:id="rId12"/>
    <sheet name="Ul Life Diversified Equity Fund" sheetId="13" r:id="rId13"/>
    <sheet name="UL MONEY MARKET II FUND" sheetId="14" r:id="rId14"/>
    <sheet name="UI Life Sustainable Equity Fund" sheetId="15" r:id="rId15"/>
    <sheet name="UL PURE GROWTH FUND" sheetId="31" r:id="rId16"/>
    <sheet name="Ul Life Dynamic Bond Fund" sheetId="16" r:id="rId17"/>
    <sheet name="SMALLCAP QUALITY INDEX FUND" sheetId="32" r:id="rId18"/>
    <sheet name="MIDCAP MOMENTUM INDEX FUND" sheetId="33" r:id="rId19"/>
    <sheet name="NIFTY ALPHA 50 FUND" sheetId="34" r:id="rId20"/>
    <sheet name="Max Life NIFTY 500 MOMENTUM 50" sheetId="35" r:id="rId21"/>
    <sheet name="NIFTY MOMENTUM QUALITY 50 FUND" sheetId="36" r:id="rId22"/>
    <sheet name="SUSTAINABLE WEALTH 50 INDEX FUN" sheetId="37" r:id="rId23"/>
    <sheet name="SMART INNOVATION FUND" sheetId="38" r:id="rId24"/>
    <sheet name="DISCONTINUANCE FUND INDIVIDUAL" sheetId="17" r:id="rId25"/>
    <sheet name="UL PENSION GROWTH SUPER FUND" sheetId="18" r:id="rId26"/>
    <sheet name="Pension Life Growth Fund" sheetId="19" r:id="rId27"/>
    <sheet name="Lifemaker Pension Maximiser" sheetId="20" r:id="rId28"/>
    <sheet name="Pension Life Balanced Fund" sheetId="21" r:id="rId29"/>
    <sheet name="Lifemaker Pension Preserver" sheetId="22" r:id="rId30"/>
    <sheet name="Pension Life Conservative Fund" sheetId="23" r:id="rId31"/>
    <sheet name="Pension Life Secured Fund" sheetId="24" r:id="rId32"/>
    <sheet name="Discontinuance Fund Pension" sheetId="25" r:id="rId33"/>
    <sheet name="Gr Gratuity Growth Fund" sheetId="26" r:id="rId34"/>
    <sheet name="Gr Gratuity Balanced Fund" sheetId="27" r:id="rId35"/>
    <sheet name="Group Gratuity Bond Fund" sheetId="28" r:id="rId36"/>
    <sheet name="Gr Gratuity Conservative Fund" sheetId="29" r:id="rId37"/>
    <sheet name="Gr Superannuation Conservative" sheetId="30" r:id="rId38"/>
    <sheet name="NIFTY 500 MULTIFACTOR 50 INDEX " sheetId="39" r:id="rId39"/>
    <sheet name="NIFTY 500 MULTIFACTOR 50 PENSIO" sheetId="40" r:id="rId40"/>
    <sheet name="BSE 500 Value 50 Index Fund" sheetId="41" r:id="rId41"/>
    <sheet name="INDIA CONSUMPTION OPPORTUNITIES" sheetId="45" r:id="rId42"/>
    <sheet name="BSE 500 DIVIDEND LEADERS 50 IND" sheetId="46" r:id="rId43"/>
    <sheet name="HIGH GROWTH PENSION FUND" sheetId="47" r:id="rId44"/>
    <sheet name="BSE 500 DIVIDEND LE 50 IND PENS" sheetId="48" r:id="rId45"/>
    <sheet name="High Growth Fund II" sheetId="49" r:id="rId46"/>
    <sheet name="Diversified Equity Fund II" sheetId="51" r:id="rId47"/>
    <sheet name="BSE 500 VALUE 50 INDEX PENSION " sheetId="52" r:id="rId48"/>
  </sheets>
  <definedNames>
    <definedName name="Z_56738D00_283D_4DDB_995B_1873F1A6265D_.wvu.FilterData" localSheetId="12" hidden="1">'Ul Life Diversified Equity Fund'!$A$5:$J$6</definedName>
    <definedName name="Z_56738D00_283D_4DDB_995B_1873F1A6265D_.wvu.FilterData" localSheetId="13" hidden="1">'UL MONEY MARKET II FUND'!$A$5:$G$6</definedName>
    <definedName name="Z_71795DAA_6E8D_47E6_8467_925153BA5FF1_.wvu.FilterData" localSheetId="7" hidden="1">'Dynamic Opportuinities Fund'!$A$5:$H$6</definedName>
    <definedName name="Z_71795DAA_6E8D_47E6_8467_925153BA5FF1_.wvu.FilterData" localSheetId="0" hidden="1">Index!$A$1:$C$23</definedName>
    <definedName name="Z_71795DAA_6E8D_47E6_8467_925153BA5FF1_.wvu.FilterData" localSheetId="2" hidden="1">'Max Life High Growth Fund'!#REF!</definedName>
    <definedName name="Z_71795DAA_6E8D_47E6_8467_925153BA5FF1_.wvu.FilterData" localSheetId="6" hidden="1">'Max Life Ul Life Secured Fund'!#REF!</definedName>
    <definedName name="Z_71795DAA_6E8D_47E6_8467_925153BA5FF1_.wvu.FilterData" localSheetId="4" hidden="1">'Ul Life Balanced Fund'!$A$5:$D$6</definedName>
    <definedName name="Z_71795DAA_6E8D_47E6_8467_925153BA5FF1_.wvu.FilterData" localSheetId="12" hidden="1">'Ul Life Diversified Equity Fund'!$A$5:$J$6</definedName>
    <definedName name="Z_71795DAA_6E8D_47E6_8467_925153BA5FF1_.wvu.FilterData" localSheetId="1" hidden="1">'Ul Life Growth Super Fund'!$A$1</definedName>
    <definedName name="Z_71795DAA_6E8D_47E6_8467_925153BA5FF1_.wvu.FilterData" localSheetId="13" hidden="1">'UL MONEY MARKET II FUND'!$A$5:$G$6</definedName>
    <definedName name="Z_9F5FA5C9_DC1F_40B8_B1C1_4DC2F11F383E_.wvu.FilterData" localSheetId="7" hidden="1">'Dynamic Opportuinities Fund'!$A$5:$H$6</definedName>
    <definedName name="Z_9F5FA5C9_DC1F_40B8_B1C1_4DC2F11F383E_.wvu.FilterData" localSheetId="0" hidden="1">Index!$A$1:$C$23</definedName>
    <definedName name="Z_9F5FA5C9_DC1F_40B8_B1C1_4DC2F11F383E_.wvu.FilterData" localSheetId="2" hidden="1">'Max Life High Growth Fund'!#REF!</definedName>
    <definedName name="Z_9F5FA5C9_DC1F_40B8_B1C1_4DC2F11F383E_.wvu.FilterData" localSheetId="6" hidden="1">'Max Life Ul Life Secured Fund'!#REF!</definedName>
    <definedName name="Z_9F5FA5C9_DC1F_40B8_B1C1_4DC2F11F383E_.wvu.FilterData" localSheetId="4" hidden="1">'Ul Life Balanced Fund'!$A$5:$D$6</definedName>
    <definedName name="Z_9F5FA5C9_DC1F_40B8_B1C1_4DC2F11F383E_.wvu.FilterData" localSheetId="12" hidden="1">'Ul Life Diversified Equity Fund'!$A$5:$J$6</definedName>
    <definedName name="Z_9F5FA5C9_DC1F_40B8_B1C1_4DC2F11F383E_.wvu.FilterData" localSheetId="1" hidden="1">'Ul Life Growth Super Fund'!$A$1</definedName>
    <definedName name="Z_9F5FA5C9_DC1F_40B8_B1C1_4DC2F11F383E_.wvu.FilterData" localSheetId="13" hidden="1">'UL MONEY MARKET II FUND'!$A$5:$G$6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52" l="1"/>
  <c r="C24" i="52" s="1"/>
  <c r="B18" i="52"/>
  <c r="B24" i="52" s="1"/>
  <c r="B18" i="15"/>
  <c r="C18" i="15"/>
  <c r="C9" i="51"/>
  <c r="B9" i="51"/>
  <c r="C18" i="49"/>
  <c r="C24" i="49"/>
  <c r="B18" i="49"/>
  <c r="B24" i="49"/>
  <c r="B27" i="30"/>
  <c r="B33" i="30" s="1"/>
  <c r="C27" i="30"/>
  <c r="C44" i="20"/>
  <c r="B44" i="20"/>
  <c r="B50" i="20" s="1"/>
  <c r="C31" i="20"/>
  <c r="B31" i="20"/>
  <c r="C18" i="20"/>
  <c r="B18" i="20"/>
  <c r="B31" i="24"/>
  <c r="C31" i="24"/>
  <c r="C37" i="24" s="1"/>
  <c r="C18" i="48"/>
  <c r="C24" i="48" s="1"/>
  <c r="B18" i="48"/>
  <c r="B24" i="48" s="1"/>
  <c r="C18" i="47"/>
  <c r="C24" i="47" s="1"/>
  <c r="B18" i="47"/>
  <c r="B24" i="47" s="1"/>
  <c r="C18" i="46"/>
  <c r="C24" i="46" s="1"/>
  <c r="B18" i="46"/>
  <c r="B24" i="46"/>
  <c r="C18" i="45"/>
  <c r="C24" i="45"/>
  <c r="B18" i="45"/>
  <c r="B24" i="45"/>
  <c r="B18" i="41"/>
  <c r="B24" i="41"/>
  <c r="C18" i="41"/>
  <c r="C24" i="41"/>
  <c r="B18" i="40"/>
  <c r="B24" i="40"/>
  <c r="C18" i="40"/>
  <c r="C24" i="40"/>
  <c r="B18" i="39"/>
  <c r="C18" i="39"/>
  <c r="C24" i="39"/>
  <c r="B24" i="39"/>
  <c r="B18" i="30"/>
  <c r="C18" i="30"/>
  <c r="B18" i="29"/>
  <c r="C18" i="29"/>
  <c r="B31" i="29"/>
  <c r="C31" i="29"/>
  <c r="B18" i="28"/>
  <c r="C18" i="28"/>
  <c r="B31" i="28"/>
  <c r="C31" i="28"/>
  <c r="C37" i="28"/>
  <c r="B18" i="27"/>
  <c r="C18" i="27"/>
  <c r="B31" i="27"/>
  <c r="C31" i="27"/>
  <c r="B44" i="27"/>
  <c r="C44" i="27"/>
  <c r="B18" i="26"/>
  <c r="C18" i="26"/>
  <c r="B31" i="26"/>
  <c r="C31" i="26"/>
  <c r="B44" i="26"/>
  <c r="C44" i="26"/>
  <c r="B18" i="25"/>
  <c r="C18" i="25"/>
  <c r="C24" i="25"/>
  <c r="B24" i="25"/>
  <c r="B18" i="24"/>
  <c r="B37" i="24"/>
  <c r="C18" i="24"/>
  <c r="B18" i="23"/>
  <c r="C18" i="23"/>
  <c r="B31" i="23"/>
  <c r="C31" i="23"/>
  <c r="B39" i="23"/>
  <c r="B45" i="23"/>
  <c r="C39" i="23"/>
  <c r="C45" i="23" s="1"/>
  <c r="B18" i="22"/>
  <c r="C18" i="22"/>
  <c r="B31" i="22"/>
  <c r="B50" i="22" s="1"/>
  <c r="C31" i="22"/>
  <c r="B44" i="22"/>
  <c r="C44" i="22"/>
  <c r="B18" i="21"/>
  <c r="C18" i="21"/>
  <c r="B31" i="21"/>
  <c r="C31" i="21"/>
  <c r="C50" i="21" s="1"/>
  <c r="B44" i="21"/>
  <c r="C44" i="21"/>
  <c r="B18" i="19"/>
  <c r="C18" i="19"/>
  <c r="B31" i="19"/>
  <c r="C31" i="19"/>
  <c r="B44" i="19"/>
  <c r="C44" i="19"/>
  <c r="B18" i="18"/>
  <c r="B24" i="18"/>
  <c r="C18" i="18"/>
  <c r="C24" i="18" s="1"/>
  <c r="B18" i="17"/>
  <c r="B24" i="17" s="1"/>
  <c r="C18" i="17"/>
  <c r="C24" i="17" s="1"/>
  <c r="B18" i="38"/>
  <c r="B24" i="38" s="1"/>
  <c r="C18" i="38"/>
  <c r="C24" i="38" s="1"/>
  <c r="B18" i="37"/>
  <c r="B24" i="37"/>
  <c r="C18" i="37"/>
  <c r="C24" i="37" s="1"/>
  <c r="B18" i="36"/>
  <c r="B24" i="36"/>
  <c r="C18" i="36"/>
  <c r="C24" i="36" s="1"/>
  <c r="B18" i="35"/>
  <c r="C18" i="35"/>
  <c r="C24" i="35" s="1"/>
  <c r="B24" i="35"/>
  <c r="B18" i="34"/>
  <c r="B24" i="34"/>
  <c r="C18" i="34"/>
  <c r="C24" i="34"/>
  <c r="B18" i="33"/>
  <c r="B24" i="33"/>
  <c r="C18" i="33"/>
  <c r="C24" i="33" s="1"/>
  <c r="B18" i="32"/>
  <c r="B24" i="32"/>
  <c r="C18" i="32"/>
  <c r="C24" i="32" s="1"/>
  <c r="B18" i="16"/>
  <c r="B37" i="16" s="1"/>
  <c r="C18" i="16"/>
  <c r="C37" i="16"/>
  <c r="B31" i="16"/>
  <c r="C31" i="16"/>
  <c r="B18" i="31"/>
  <c r="B24" i="31"/>
  <c r="C18" i="31"/>
  <c r="C24" i="31" s="1"/>
  <c r="B24" i="15"/>
  <c r="C24" i="15"/>
  <c r="B9" i="14"/>
  <c r="C9" i="14"/>
  <c r="B18" i="13"/>
  <c r="B24" i="13"/>
  <c r="C18" i="13"/>
  <c r="C24" i="13"/>
  <c r="B18" i="12"/>
  <c r="C18" i="12"/>
  <c r="B31" i="12"/>
  <c r="B37" i="12" s="1"/>
  <c r="C31" i="12"/>
  <c r="C37" i="12"/>
  <c r="B18" i="11"/>
  <c r="C18" i="11"/>
  <c r="B31" i="11"/>
  <c r="C31" i="11"/>
  <c r="C43" i="11" s="1"/>
  <c r="B37" i="11"/>
  <c r="C37" i="11"/>
  <c r="B18" i="10"/>
  <c r="C18" i="10"/>
  <c r="C37" i="10"/>
  <c r="B31" i="10"/>
  <c r="C31" i="10"/>
  <c r="B9" i="9"/>
  <c r="C9" i="9"/>
  <c r="B18" i="8"/>
  <c r="B50" i="8" s="1"/>
  <c r="C18" i="8"/>
  <c r="B31" i="8"/>
  <c r="C31" i="8"/>
  <c r="B44" i="8"/>
  <c r="C44" i="8"/>
  <c r="B18" i="7"/>
  <c r="C18" i="7"/>
  <c r="C37" i="7" s="1"/>
  <c r="B31" i="7"/>
  <c r="B37" i="7" s="1"/>
  <c r="C31" i="7"/>
  <c r="B18" i="6"/>
  <c r="C18" i="6"/>
  <c r="B31" i="6"/>
  <c r="C31" i="6"/>
  <c r="B44" i="6"/>
  <c r="C44" i="6"/>
  <c r="C50" i="6"/>
  <c r="B18" i="5"/>
  <c r="C18" i="5"/>
  <c r="B31" i="5"/>
  <c r="C31" i="5"/>
  <c r="B44" i="5"/>
  <c r="B50" i="5" s="1"/>
  <c r="C44" i="5"/>
  <c r="B18" i="4"/>
  <c r="C18" i="4"/>
  <c r="C50" i="4" s="1"/>
  <c r="B31" i="4"/>
  <c r="C31" i="4"/>
  <c r="B44" i="4"/>
  <c r="B50" i="4"/>
  <c r="C44" i="4"/>
  <c r="B18" i="3"/>
  <c r="B24" i="3"/>
  <c r="C18" i="3"/>
  <c r="C24" i="3" s="1"/>
  <c r="B18" i="2"/>
  <c r="B24" i="2"/>
  <c r="C18" i="2"/>
  <c r="C24" i="2" s="1"/>
  <c r="B37" i="28"/>
  <c r="C33" i="30"/>
  <c r="C50" i="26"/>
  <c r="C50" i="19"/>
  <c r="B50" i="19"/>
  <c r="C37" i="29" l="1"/>
  <c r="B37" i="29"/>
  <c r="B50" i="27"/>
  <c r="C50" i="27"/>
  <c r="B50" i="26"/>
  <c r="C50" i="22"/>
  <c r="B50" i="21"/>
  <c r="C50" i="20"/>
  <c r="B43" i="11"/>
  <c r="B37" i="10"/>
  <c r="C50" i="8"/>
  <c r="B50" i="6"/>
  <c r="C50" i="5"/>
</calcChain>
</file>

<file path=xl/sharedStrings.xml><?xml version="1.0" encoding="utf-8"?>
<sst xmlns="http://schemas.openxmlformats.org/spreadsheetml/2006/main" count="1415" uniqueCount="341">
  <si>
    <t>SCHEMES</t>
  </si>
  <si>
    <t>Website : - www.maxlifeinsurance.com</t>
  </si>
  <si>
    <t>Back to Links</t>
  </si>
  <si>
    <t>Security Name</t>
  </si>
  <si>
    <t xml:space="preserve"> Market Value </t>
  </si>
  <si>
    <t xml:space="preserve"> of Portfolio Value</t>
  </si>
  <si>
    <t>(In Rupees Million)</t>
  </si>
  <si>
    <t>ICICI BANK LIMITED</t>
  </si>
  <si>
    <t>HOUSING DEVELOPMENT FINANCE CORP BANK</t>
  </si>
  <si>
    <t>RELIANCE INDUSTRIES LIMITED</t>
  </si>
  <si>
    <t>INFOSYS LIMITED</t>
  </si>
  <si>
    <t>BHARTI AIRTEL LIMITED</t>
  </si>
  <si>
    <t>MAHINDRA &amp; MAHINDRA LIMITED</t>
  </si>
  <si>
    <t>LARSEN &amp; TOUBRO LIMITED</t>
  </si>
  <si>
    <t>SUN PHARMACEUTICAL INDUSTRIES LIMITED</t>
  </si>
  <si>
    <t>Total</t>
  </si>
  <si>
    <t>Money Market OR Equivalent</t>
  </si>
  <si>
    <t>Others</t>
  </si>
  <si>
    <t>Grand Total</t>
  </si>
  <si>
    <t>Equity</t>
  </si>
  <si>
    <t>MAX HEALTHCARE INSTITUTE LTD</t>
  </si>
  <si>
    <t>Government Securities</t>
  </si>
  <si>
    <t>6.8 GOI 15 DEC 2060</t>
  </si>
  <si>
    <t>Bond</t>
  </si>
  <si>
    <t>NTPC LIMITED</t>
  </si>
  <si>
    <t>STATE BANK OF INDIA</t>
  </si>
  <si>
    <t>7.29 SGB 27 JANUARY 2033</t>
  </si>
  <si>
    <t>DIVIS LABORATORIES LIMITED</t>
  </si>
  <si>
    <t>7.43 ANDHRA PRADESH SDL 05 JUNE 2042</t>
  </si>
  <si>
    <t>AXIS BANK LIMITED</t>
  </si>
  <si>
    <t>ITC LIMITED</t>
  </si>
  <si>
    <t>FORTIS HEALTHCARE LIMITED</t>
  </si>
  <si>
    <t>CENTRAL DEPOSITORY SERVICES (INDIA) LIMITED</t>
  </si>
  <si>
    <t>INDIAN ENERGY EXCHANGE LIMITED</t>
  </si>
  <si>
    <t>CASTROL INDIA LIMITED</t>
  </si>
  <si>
    <t>BSE LIMITED</t>
  </si>
  <si>
    <t>BHARAT ELECTRONICS LIMITED</t>
  </si>
  <si>
    <t>8.17 GOI 01 DEC  2044</t>
  </si>
  <si>
    <t>ULTRATECH CEMENT LIMITED</t>
  </si>
  <si>
    <t>Axis Max Life UL Life Growth Super Fund</t>
  </si>
  <si>
    <t>Axis Max Life Insurance Co. Ltd</t>
  </si>
  <si>
    <t>Axis Max Life High Growth Fund</t>
  </si>
  <si>
    <t>Axis Max Life UL Life Growth Fund</t>
  </si>
  <si>
    <t>Axis Max Life UL Life Balanced Fund</t>
  </si>
  <si>
    <t>Axis Max Life UL Life Conservative Fund</t>
  </si>
  <si>
    <t>Axis Max Life UL Life Secured Fund</t>
  </si>
  <si>
    <t>Axis Max Life Dynamic Opportuinities Fund</t>
  </si>
  <si>
    <t>Axis Max Life UL Money Market Fund</t>
  </si>
  <si>
    <t>Axis Max Life UL Secure Plus</t>
  </si>
  <si>
    <t>Axis Max Life Guaranteed Fund- Dynamic</t>
  </si>
  <si>
    <t>Axis Max Life Guaranteed Fund-Income</t>
  </si>
  <si>
    <t>Axis Max Life UL Life Diversified Equity Fund</t>
  </si>
  <si>
    <t>Axis Max Life UL Money Market II Fund</t>
  </si>
  <si>
    <t>Axis Max Life UL Sustainable Equity Fund</t>
  </si>
  <si>
    <t>Axis Max Life UL Life Dynamic Bond Fund</t>
  </si>
  <si>
    <t>Axis Max Life Discontinuance Fund Individual</t>
  </si>
  <si>
    <t>Axis Max Life UL Pension Growth Super Fund</t>
  </si>
  <si>
    <t>Axis Max Life Pension Life Growth Fund</t>
  </si>
  <si>
    <t>Axis Max Life Lifemaker Pension Maximiser Fund</t>
  </si>
  <si>
    <t>Axis Max Life Pension Life Balanced Fund</t>
  </si>
  <si>
    <t>Axis Max Life Lifemaker Pension Preserver Fund</t>
  </si>
  <si>
    <t>Axis Max Life Pension Life Conservative Fund</t>
  </si>
  <si>
    <t>Axis Max Life Pension Life Secured Fund</t>
  </si>
  <si>
    <t>Axis Max Life Discontinuance Fund Pension</t>
  </si>
  <si>
    <t>Axis Max Life GR Gratuity Growth Fund</t>
  </si>
  <si>
    <t>Axis Max Life GR Gratuity Balanced Fund</t>
  </si>
  <si>
    <t>Axis Max Life Group Gratuity Bond Fund.</t>
  </si>
  <si>
    <t>Axis Max Life GR Gratuity Conservative Fund</t>
  </si>
  <si>
    <t>Axis Max Life Group Superannuation Conservative Fund</t>
  </si>
  <si>
    <t>Axis Max Life Ul Pure Growth Fund</t>
  </si>
  <si>
    <t>Axis Max Life Nifty Smallcap Quality Index Fund</t>
  </si>
  <si>
    <t>Axis Max Life Midcap Momentum Index Fund</t>
  </si>
  <si>
    <t>Axis Max Life Nifty Alpha 50 Fund</t>
  </si>
  <si>
    <t>Axis Max Life NIFTY 500 MOMENTUM 50 FUND</t>
  </si>
  <si>
    <t>Axis Max Life NIFTY MOMENTUM QUALITY 50 FUND</t>
  </si>
  <si>
    <t>Axis Max Life Ul Life Growth Super Fund</t>
  </si>
  <si>
    <t>Axis Max Life Ul Life Growth Fund</t>
  </si>
  <si>
    <t>Axis Max Life Ul Life Balanced Fund</t>
  </si>
  <si>
    <t>Axis Max Life UL LIFE CONSERVATIVE FUND</t>
  </si>
  <si>
    <t>Axis Max Life Ul Life Secured Fund</t>
  </si>
  <si>
    <t>Axis Max Life Ul Money Market Fund</t>
  </si>
  <si>
    <t>Axis Max Life Ul Secure Plus</t>
  </si>
  <si>
    <t>Axis Max Life Ul Life Diversified Equity Fund</t>
  </si>
  <si>
    <t>Axis Max Life UL MONEY MARKET II FUND</t>
  </si>
  <si>
    <t>Axis Max Life Ul Life Dynamic Bond Fund</t>
  </si>
  <si>
    <t>Axis Max Life DISCONTINUANCE FUND INDIVIDUAL</t>
  </si>
  <si>
    <t>Axis Max Life UL PENSION GROWTH SUPER FUND</t>
  </si>
  <si>
    <t>Axis Max Life Gr Gratuity Conservative Fund</t>
  </si>
  <si>
    <t>Axis Max Life NIFTY SMALLCAP QUALITY INDEX FUND</t>
  </si>
  <si>
    <t>Axis Max Life MIDCAP MOMENTUM INDEX FUND</t>
  </si>
  <si>
    <t>Axis Max Life NIFTY ALPHA 50 FUND</t>
  </si>
  <si>
    <t>SHRIRAM FINANCE LIMITED</t>
  </si>
  <si>
    <t>KOTAK MAHINDRA BANK LIMITED</t>
  </si>
  <si>
    <t>COMPUTER AGE MANAGEMENT SERVICES LIMITED</t>
  </si>
  <si>
    <t>Axis Max Life SUSTAINABLE WEALTH 50 INDEX FUND</t>
  </si>
  <si>
    <t>ETERNAL LIMITED</t>
  </si>
  <si>
    <t>POLYCAB INDIA LIMITED</t>
  </si>
  <si>
    <t>7.88 GOI 19 MAR 2030</t>
  </si>
  <si>
    <t>ICICI PRUDENTIAL BANKING ETF</t>
  </si>
  <si>
    <t>SBI NIFTY BANK ETF</t>
  </si>
  <si>
    <t>INTERGLOBE AVIATION LTD</t>
  </si>
  <si>
    <t>Axis Max Life SMART INNOVATION FUND</t>
  </si>
  <si>
    <t>KARUR VYSYA BANK LIMITED</t>
  </si>
  <si>
    <t>NESTLE INDIA LIMITED</t>
  </si>
  <si>
    <t>BRITANNIA INDUSTRIES LIMITED</t>
  </si>
  <si>
    <t>EICHER MOTORS LIMITED</t>
  </si>
  <si>
    <t xml:space="preserve">Axis Max Life Nifty 500 Multifactor 50 Index Fund </t>
  </si>
  <si>
    <t>INDIAN OIL CORPORATION LIMITED</t>
  </si>
  <si>
    <t>BHARAT PETROLEUM CORPORATION LIMITED</t>
  </si>
  <si>
    <t>COAL INDIA LIMITED</t>
  </si>
  <si>
    <t xml:space="preserve">Axis Max Life Nifty 500 Multifactor 50 Index Pension Fund </t>
  </si>
  <si>
    <t>7.09 GOI 25 NOVEMBER 2074</t>
  </si>
  <si>
    <t>7.25 GOI 12 JUNE 2063</t>
  </si>
  <si>
    <t>KOTAK MAHINDRA MF - KOTAK BANKING ETF - DIVIDEND PAYOUT OPTI</t>
  </si>
  <si>
    <t>MARUTI SUZUKI INDIA LIMITED (SUZUKI CORPORATION LIMITED)</t>
  </si>
  <si>
    <t>HERO MOTOCORP LIMITED</t>
  </si>
  <si>
    <t>Axis Max Life BSE 500 Value 50 Index Fund</t>
  </si>
  <si>
    <t>364 DAYS TBILL 19 MARCH 2026</t>
  </si>
  <si>
    <t>364 DAYS TBILL 01 MAY 2026</t>
  </si>
  <si>
    <t>364 DAYS TBILL 02 APRIL 2026</t>
  </si>
  <si>
    <t>364 DAYS TBILL 05 MARCH 2026</t>
  </si>
  <si>
    <t>364 DAYS TBILL 16 JULY 2026</t>
  </si>
  <si>
    <t>364 DAYS TBILL 12 MARCH 2026</t>
  </si>
  <si>
    <t>364 DAYS TBILL 10 APRIL 2026</t>
  </si>
  <si>
    <t>364 DAYS TBILL 16 APRIL 2026</t>
  </si>
  <si>
    <t>364 DAYS TBILL 21 MAY 2026</t>
  </si>
  <si>
    <t>7.76 MADHYA PRADESH SDL 29 NOVEMBER 2037</t>
  </si>
  <si>
    <t>7.59 GOI 20 MAR 2029</t>
  </si>
  <si>
    <t>7.40 GOI 09 SEP 2035</t>
  </si>
  <si>
    <t>LAURUS LABS LIMITED</t>
  </si>
  <si>
    <t>GE VERNOVA T&amp;D INDIA LTD</t>
  </si>
  <si>
    <t>CANARA BANK LIMITED</t>
  </si>
  <si>
    <t>OIL &amp; NATURAL GAS CORP LIMITED</t>
  </si>
  <si>
    <t>HINDALCO INDUSTRIES LIMITED</t>
  </si>
  <si>
    <t>GAIL (INDIA) LIMITED</t>
  </si>
  <si>
    <t>Money Market or Equivalent</t>
  </si>
  <si>
    <t>CUMMINS INDIA LIMITED</t>
  </si>
  <si>
    <t>GOVERNMENT SECURITIES</t>
  </si>
  <si>
    <t>Bonds</t>
  </si>
  <si>
    <t>6.85 NABARD 19 JAN 2029</t>
  </si>
  <si>
    <t>Equities</t>
  </si>
  <si>
    <t>JINDAL STEEL &amp; POWER LIMITED</t>
  </si>
  <si>
    <t>ANGEL ONE LIMITED</t>
  </si>
  <si>
    <t>PUNJAB NATIONAL BANK LIMITED</t>
  </si>
  <si>
    <t>ASIAN PAINTS (INDIA) LIMITED</t>
  </si>
  <si>
    <t xml:space="preserve"> GOVERNMENT SECURITIES</t>
  </si>
  <si>
    <t>364 DAYS TBILL 08 OCT 2026</t>
  </si>
  <si>
    <t>AU SMALL FINANCE BANK LIMITED</t>
  </si>
  <si>
    <t>6.79 SGB 02 DECEMBER 2034</t>
  </si>
  <si>
    <t>7.46 GOI 06 NOVEMBER 2073</t>
  </si>
  <si>
    <t>6.28 GOI 14 JULY 2032</t>
  </si>
  <si>
    <t>7.80 YES BANK  29 SEP 2027</t>
  </si>
  <si>
    <t>6.84 NATIONAL THERMAL POWER CORPORATION 09 MAY 2035</t>
  </si>
  <si>
    <t>7.50 POWERGRID CORPORATION 24 AUGUST 2033</t>
  </si>
  <si>
    <t>9.05 CHOLAMANDALAM INVESTMENT &amp; FINANCE COMPANY LIMITED 24 M</t>
  </si>
  <si>
    <t>7.44 INDIAN RAILWAY FINANCE CORP LTD 13 JUNE 2034</t>
  </si>
  <si>
    <t>7.8 YES BANK  01 OCT 2027</t>
  </si>
  <si>
    <t>7.44 NATIONAL THERMAL POWER CORPORATION 25 AUGUST 2032</t>
  </si>
  <si>
    <t>TATA STEEL LIMITED</t>
  </si>
  <si>
    <t>7.40 GOI 19 SEPTEMBER 2062</t>
  </si>
  <si>
    <t>6.48 GOI 06 OCT 35</t>
  </si>
  <si>
    <t>7.65 POWER FINANCE CORPORATION 13 NOVEMBER 2037</t>
  </si>
  <si>
    <t>8.37 HUDCO (GOI SERVICED) 25 MARCH 2029</t>
  </si>
  <si>
    <t>7.54 GOI 23 MAY 2036</t>
  </si>
  <si>
    <t>7.12 POWER GRID CORPORATION 24 DECEMBER 2034</t>
  </si>
  <si>
    <t xml:space="preserve">8.09 RURAL ELECTRIFICATION CORPORATION LIMITED 21 MAR 2028 </t>
  </si>
  <si>
    <t>6.8 SBI 21 AUG 2035 TIER-2 (CALL DATE 21 AUG 2030)</t>
  </si>
  <si>
    <t>7.85 INDIAN RAILWAY FINANCE CORPORATION 01 JUL 2034</t>
  </si>
  <si>
    <t>7.64 POWER FINANCE CORP 22 FEB 2033 (PUT OPTION 21.02.26)</t>
  </si>
  <si>
    <t>7.75 INDIAN RAILWAY FINANCE CORP LTD 15 APRIL 2033</t>
  </si>
  <si>
    <t>8.13 KERALA SDL 21 MAR 2028</t>
  </si>
  <si>
    <t>7.72 BAJAJ FINANCE LIMITED 23 MAY 2033</t>
  </si>
  <si>
    <t>8.65 INDIA INFRADEBT LIMITED 22 MAR 2026</t>
  </si>
  <si>
    <t>6.75 PIRAMAL CAPITAL &amp; HOUSING FINANCE LIMIT</t>
  </si>
  <si>
    <t>7.34 ANDHRA PRADESH SDL 31 JULY 2044</t>
  </si>
  <si>
    <t>6.95 GOI 16 DEC 2061</t>
  </si>
  <si>
    <t>8.50 CHOLAMANDALAM INVESTMENT &amp; FIN CO LTD 27 MARCH 2026</t>
  </si>
  <si>
    <t>6.85 INDIAN RAILWAY FINANCE CORP LTD 29 OCT 2040</t>
  </si>
  <si>
    <t>7.83 GUJARAT SDL 13 JUL 2026</t>
  </si>
  <si>
    <t>7.80 GUJARAT SDL 27 DEC 2027</t>
  </si>
  <si>
    <t>7.25 MAHARASHTRA SDL 28 DEC 2026</t>
  </si>
  <si>
    <t>6.65 FOOD CORPORATION OF INDIA GOVT GUARANTEED 23 OCT 2030</t>
  </si>
  <si>
    <t>7.66 POWER FINANCE CORP 15 APRIL 2033 (PUT OPTION 15.04.26)</t>
  </si>
  <si>
    <t>7.23 SBI BANK INFRA 19 NOV 2039</t>
  </si>
  <si>
    <t>7.64 INDIAN RAILWAY FINANCE CORP LTD 28 NOVEMBER 2037</t>
  </si>
  <si>
    <t>BANK OF INDIA</t>
  </si>
  <si>
    <t>INDIAN BANK</t>
  </si>
  <si>
    <t xml:space="preserve">8.06 RURAL ELECTRIFICATION CORPORATION LIMITED 27 MAR 2028 </t>
  </si>
  <si>
    <t>7.65 KARNATAKA SDL 29 NOV 2027</t>
  </si>
  <si>
    <t>9 SHRIRAM TRANSPORT FINANCE CO. LIMITED 28 MAR 2028</t>
  </si>
  <si>
    <t>8.00 OIL MARKETING BOND GOI 23 MAR 2026</t>
  </si>
  <si>
    <t>8.70 RURAL ELECTRIFICATION CORPORATION LIMITED GOI SERVICE B</t>
  </si>
  <si>
    <t>8.35 INDIAN RAILWAY FINANCE CORP LTD 13 MARCH 2029</t>
  </si>
  <si>
    <t>7.40 NABARD 29 APRIL 2030</t>
  </si>
  <si>
    <t>7.70 BAJAJ FINANCE LIMITED 07 JUNE 2027</t>
  </si>
  <si>
    <t>8.51 MAHARASTRA SDL 09 MAR 2026</t>
  </si>
  <si>
    <t>6.94 NATIONAL HIGHWAYS AUTHORITY OF INDIA 30 DEC 2036</t>
  </si>
  <si>
    <t>7.50 NABARD (GOI SERVICED) 17 NOV 2034</t>
  </si>
  <si>
    <t>7.60 MUTHOOT FINANCE 20 APR 2026</t>
  </si>
  <si>
    <t>364 DAYS TBILL 20 AUG 2026</t>
  </si>
  <si>
    <t>7.62 GOI 15 SEP 2039</t>
  </si>
  <si>
    <t>7.25 INDIAN RAILWAY FINANCE CORP LTD 17 JANUARY 2035</t>
  </si>
  <si>
    <t>8.79 INDIAN RAILWAY FINANCE CORPORATION 04 MAY 2030</t>
  </si>
  <si>
    <t>8.24 GOI 15 FEB 2027</t>
  </si>
  <si>
    <t>7.43 NABFID 16 JUNE 2033</t>
  </si>
  <si>
    <t>7.58 NABARD 31 JULY 2026</t>
  </si>
  <si>
    <t>9.47 INDIAN RAILWAY FINANCE CORPORATION 10 MAY 2031</t>
  </si>
  <si>
    <t>6.99 GOI 17 APRIL 2026</t>
  </si>
  <si>
    <t>9.00 HDFC BANK 29 NOVEMBER 2028 (FORMERLY HDFC LTD)</t>
  </si>
  <si>
    <t>Axis Max Life INDIA CONSUMPTION OPPORTUNITIES FUND</t>
  </si>
  <si>
    <t>TITAN COMPANY LIMITED</t>
  </si>
  <si>
    <t>HINDUSTAN UNILEVER LIMITED</t>
  </si>
  <si>
    <t>Axis Max Life BSE 500 DIVIDEND LEADERS 50 INDEX Fund</t>
  </si>
  <si>
    <t>VEDANTA LIMITED</t>
  </si>
  <si>
    <t>RURAL ELECTRIFICATION CORPORATION LIMITED</t>
  </si>
  <si>
    <t>Axis Max Life HIGH GROWTH PENSION FUND</t>
  </si>
  <si>
    <t>Axis Max Life BSE 500 DIVIDEND LEADERS 50 INDEX FUND</t>
  </si>
  <si>
    <t>Axis Max Life BSE 500 DIVIDEND LEADERS 50 INDEX PENSION FUND</t>
  </si>
  <si>
    <t>INDUS TOWERS LIMITED</t>
  </si>
  <si>
    <t>6.01 GOI 21 JULY 2030</t>
  </si>
  <si>
    <t>7.08 POWER GRID CORPORATION 25 OCTOBER 2034</t>
  </si>
  <si>
    <t>7.15 INDIAN RAILWAY FINANCE CORP LTD 14 NOVEMBER 2039</t>
  </si>
  <si>
    <t>7.65 INDIAN RAILWAY FINANCE CORP LTD 30 DECEMBER 2032</t>
  </si>
  <si>
    <t>7.37 NABARD 28 MAY 2035</t>
  </si>
  <si>
    <t>8.30 GOI 02 JUL 2040</t>
  </si>
  <si>
    <t>8.83 GOI 12 DEC 2041</t>
  </si>
  <si>
    <t>7.89 BAJAJ HOUSING FINANCE LIMITED 14 JULY 2034</t>
  </si>
  <si>
    <t>MOTHERSON SUMI WIRING INDIA LIMITED</t>
  </si>
  <si>
    <t>EMAMI LTD</t>
  </si>
  <si>
    <t>J B CHEMICALS &amp; PHARMACEUTICALS LTD</t>
  </si>
  <si>
    <t>ASHOK LEYLAND LIMITED</t>
  </si>
  <si>
    <t>FSN E-COMMERCE VENTURE LTD</t>
  </si>
  <si>
    <t>NAVIN FLUORINE INTERNATIONAL LIMITED</t>
  </si>
  <si>
    <t>NARAYANA HRUDAYALAYA LIMITED</t>
  </si>
  <si>
    <t>TVS MOTOR COMPANY LIMITED</t>
  </si>
  <si>
    <t>BANK OF MAHARASHTRA</t>
  </si>
  <si>
    <t>AUROBINDO PHARMA LIMITED</t>
  </si>
  <si>
    <t>364 DAYS TBILL 10 DEC 2026</t>
  </si>
  <si>
    <t>364 DAYS TBILL 15 OCT 2026</t>
  </si>
  <si>
    <t>8.41 HUDCO (GOI SERVICED) 15 MARCH 2029</t>
  </si>
  <si>
    <t>POWER FINANCE CORP LIMITED</t>
  </si>
  <si>
    <t>BANK OF BARODA (DENA &amp; VIJAYA BANK AMALGAMATED)</t>
  </si>
  <si>
    <t>THE FEDERAL BANK  LIMITED</t>
  </si>
  <si>
    <t>Total Schemes : 47</t>
  </si>
  <si>
    <t>6.90 GOI 15 APRIL 2065</t>
  </si>
  <si>
    <t>7.30 GOI 19 JUNE 2053</t>
  </si>
  <si>
    <t>7.35 NATIONAL HOUSING BANK 02 JAN 2032</t>
  </si>
  <si>
    <t>7.74 INDIAN RAILWAY FINANCE CORP LTD 15 APRIL 2038</t>
  </si>
  <si>
    <t>8.17 GOI 01 DEC 2044</t>
  </si>
  <si>
    <t>LUPIN LIMITED</t>
  </si>
  <si>
    <t>MEDPLUS HEALTH SERVICES LTD</t>
  </si>
  <si>
    <t>REDINGTON INDIA LIMITED</t>
  </si>
  <si>
    <t>MULTI COMMODITY EXCHANGE OF INDIA LIMITED</t>
  </si>
  <si>
    <t>ABB INDIA LIMITED</t>
  </si>
  <si>
    <t>JINDAL SAW LTD</t>
  </si>
  <si>
    <t>364 DAYS TBILL 15 JAN 2027</t>
  </si>
  <si>
    <t>364 DAYS TBILL 07 JAN 2027</t>
  </si>
  <si>
    <t>CG POWER &amp; INDUSTRIAL SOLUTIONS LIMITED</t>
  </si>
  <si>
    <t>Axis Max Life High Growth Fund II</t>
  </si>
  <si>
    <t>Axis Max Life Diversified Equity Fund II</t>
  </si>
  <si>
    <t>Portfolio as on 28th Feb, 2026</t>
  </si>
  <si>
    <r>
      <t xml:space="preserve">AUM for the Month Ended 28th Feb, 2026 : </t>
    </r>
    <r>
      <rPr>
        <sz val="11"/>
        <color theme="1"/>
        <rFont val="Arial"/>
        <family val="2"/>
      </rPr>
      <t>122.41 Bln Rupees</t>
    </r>
  </si>
  <si>
    <t>One 97 Communications Limited</t>
  </si>
  <si>
    <r>
      <t xml:space="preserve">AUM for the Month Ended 28th Feb, 2026 : </t>
    </r>
    <r>
      <rPr>
        <sz val="11"/>
        <color theme="1"/>
        <rFont val="Arial"/>
        <family val="2"/>
      </rPr>
      <t>125.72 Bln Rupees</t>
    </r>
  </si>
  <si>
    <t>7.43 GOI 19 JAN 2076</t>
  </si>
  <si>
    <t>7.72 MADHYA PRADESH SDL 18 FEB 2049</t>
  </si>
  <si>
    <t>7.84 TELANGANA SDL 11 FEB 2047</t>
  </si>
  <si>
    <t>7.01 NABARD 16 MAR 2029</t>
  </si>
  <si>
    <r>
      <t xml:space="preserve">AUM for the Month Ended 28th Feb, 2026 : </t>
    </r>
    <r>
      <rPr>
        <sz val="11"/>
        <color theme="1"/>
        <rFont val="Arial"/>
        <family val="2"/>
      </rPr>
      <t>68.60 Bln Rupees</t>
    </r>
  </si>
  <si>
    <t>7.72 MADHYA PRADESH SDL 18 FEB 2045</t>
  </si>
  <si>
    <t>8.58 HUDCO (GOI SERVICED) 14 February 2029</t>
  </si>
  <si>
    <r>
      <t xml:space="preserve">AUM for the Month Ended 28th Feb, 2026 : </t>
    </r>
    <r>
      <rPr>
        <sz val="11"/>
        <color theme="1"/>
        <rFont val="Arial"/>
        <family val="2"/>
      </rPr>
      <t>21.25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</si>
  <si>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1.89 Bln Rupees</t>
    </r>
  </si>
  <si>
    <t>7.73 HARYANA SDL 18 FEB 2045</t>
  </si>
  <si>
    <r>
      <t xml:space="preserve">AUM for the Month Ended 28th Feb, 2026 : </t>
    </r>
    <r>
      <rPr>
        <sz val="11"/>
        <color theme="1"/>
        <rFont val="Arial"/>
        <family val="2"/>
      </rPr>
      <t>10.13 Bln Rupees</t>
    </r>
  </si>
  <si>
    <t>7.29 TELANGANA SDL 07 August 2040</t>
  </si>
  <si>
    <t>7.45 ALTIUS TELE INFRA 20 APR 2035 (Step up &amp; Step down)</t>
  </si>
  <si>
    <r>
      <t xml:space="preserve">AUM for the Month Ended 28th Feb, 2026 : </t>
    </r>
    <r>
      <rPr>
        <sz val="11"/>
        <color theme="1"/>
        <rFont val="Arial"/>
        <family val="2"/>
      </rPr>
      <t>3.39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</si>
  <si>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0.06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</si>
  <si>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1.77 Bln Rupees</t>
    </r>
  </si>
  <si>
    <t>7.73 GOI 19 DEC  2034</t>
  </si>
  <si>
    <t>7.43 NABFID 04 JULY 2034 (Put option)</t>
  </si>
  <si>
    <r>
      <t xml:space="preserve">AUM for the Month Ended 28th Feb, 2026 : </t>
    </r>
    <r>
      <rPr>
        <sz val="11"/>
        <color theme="1"/>
        <rFont val="Arial"/>
        <family val="2"/>
      </rPr>
      <t>0.02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</si>
  <si>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0.005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</si>
  <si>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33.28 Bln Rupees</t>
    </r>
  </si>
  <si>
    <r>
      <t>AUM for the Month Ended 28th Feb, 2026 :</t>
    </r>
    <r>
      <rPr>
        <sz val="11"/>
        <color theme="1"/>
        <rFont val="Arial"/>
        <family val="2"/>
      </rPr>
      <t xml:space="preserve"> 1.09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</si>
  <si>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6.01 Bln Rupees</t>
    </r>
  </si>
  <si>
    <t>ASTRAL LIMITED</t>
  </si>
  <si>
    <r>
      <t xml:space="preserve">AUM for the Month Ended 28th Feb, 2026 : </t>
    </r>
    <r>
      <rPr>
        <sz val="11"/>
        <color theme="1"/>
        <rFont val="Arial"/>
        <family val="2"/>
      </rPr>
      <t>4.70 Bln Rupees</t>
    </r>
  </si>
  <si>
    <t>7.38 GOI 20 JUNE 2027</t>
  </si>
  <si>
    <r>
      <t xml:space="preserve">AUM for the Month Ended 28th Feb, 2026 : </t>
    </r>
    <r>
      <rPr>
        <sz val="11"/>
        <color theme="1"/>
        <rFont val="Arial"/>
        <family val="2"/>
      </rPr>
      <t>0.36 Bln Rupees</t>
    </r>
  </si>
  <si>
    <t>Gillette India Ltd</t>
  </si>
  <si>
    <r>
      <t xml:space="preserve">AUM for the Month Ended 28th Feb, 2026 : </t>
    </r>
    <r>
      <rPr>
        <sz val="11"/>
        <color theme="1"/>
        <rFont val="Arial"/>
        <family val="2"/>
      </rPr>
      <t>11.92 Bln Rupees</t>
    </r>
  </si>
  <si>
    <t>THE FEDERAL BANK LIMITED</t>
  </si>
  <si>
    <r>
      <t xml:space="preserve">AUM for the Month Ended 28th Feb, 2026 : </t>
    </r>
    <r>
      <rPr>
        <sz val="11"/>
        <color theme="1"/>
        <rFont val="Arial"/>
        <family val="2"/>
      </rPr>
      <t>11.67 Bln Rupees</t>
    </r>
  </si>
  <si>
    <t>HITACHI ENERGY INDIA LTD (Formerly ABB Power Products)</t>
  </si>
  <si>
    <t>L&amp;T FINANCE LIMITED (Formerly L&amp;T Finance holding)</t>
  </si>
  <si>
    <r>
      <t xml:space="preserve">AUM for the Month Ended 28th Feb, 2026 : </t>
    </r>
    <r>
      <rPr>
        <sz val="11"/>
        <color theme="1"/>
        <rFont val="Arial"/>
        <family val="2"/>
      </rPr>
      <t>6.86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</si>
  <si>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2.44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</si>
  <si>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1.32 Bln Rupees</t>
    </r>
  </si>
  <si>
    <t>SCHAEFFLER INDIA LIMITED</t>
  </si>
  <si>
    <t>SIEMENS LIMITED</t>
  </si>
  <si>
    <r>
      <t xml:space="preserve">AUM for the Month Ended 28th Feb, 2026 : </t>
    </r>
    <r>
      <rPr>
        <sz val="11"/>
        <color theme="1"/>
        <rFont val="Arial"/>
        <family val="2"/>
      </rPr>
      <t>1.26 Bln Rupees</t>
    </r>
  </si>
  <si>
    <t>TUBE INVESTMENTS OF INDIA LIMITED</t>
  </si>
  <si>
    <t>ANTHEM BIOSCIENCES LTD</t>
  </si>
  <si>
    <t>VOLTAMP TRANSFORMERS LTD</t>
  </si>
  <si>
    <r>
      <t xml:space="preserve">AUM for the Month Ended 28th Feb, 2026 : </t>
    </r>
    <r>
      <rPr>
        <sz val="11"/>
        <color theme="1"/>
        <rFont val="Arial"/>
        <family val="2"/>
      </rPr>
      <t>0.50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</si>
  <si>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53.66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</si>
  <si>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2.31 Bln Rupees</t>
    </r>
  </si>
  <si>
    <t>6.19 GOI 16 SEP 2034</t>
  </si>
  <si>
    <r>
      <t xml:space="preserve">AUM for the Month Ended 28th Feb, 2026 : </t>
    </r>
    <r>
      <rPr>
        <sz val="11"/>
        <color theme="1"/>
        <rFont val="Arial"/>
        <family val="2"/>
      </rPr>
      <t>2.17 Bln Rupees</t>
    </r>
  </si>
  <si>
    <t>7.26 Maharashtra SDL 07 AUGUST 2049</t>
  </si>
  <si>
    <r>
      <t xml:space="preserve">AUM for the Month Ended 28th Feb, 2026 : </t>
    </r>
    <r>
      <rPr>
        <sz val="11"/>
        <color theme="1"/>
        <rFont val="Arial"/>
        <family val="2"/>
      </rPr>
      <t>4.53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</si>
  <si>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0.48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</si>
  <si>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0.73 Bln Rupees</t>
    </r>
  </si>
  <si>
    <t>9.25% SK FINANCE 08 NOVEMBER 2026 (Step up)</t>
  </si>
  <si>
    <r>
      <t xml:space="preserve">AUM for the Month Ended 28th Feb, 2026 : </t>
    </r>
    <r>
      <rPr>
        <sz val="11"/>
        <color theme="1"/>
        <rFont val="Arial"/>
        <family val="2"/>
      </rPr>
      <t>0.03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</si>
  <si>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0.22 Bln Rupees</t>
    </r>
  </si>
  <si>
    <t>364 DAYS TBILL 23 OCT 2026</t>
  </si>
  <si>
    <r>
      <t xml:space="preserve">AUM for the Month Ended 28th Feb, 2026 : </t>
    </r>
    <r>
      <rPr>
        <sz val="11"/>
        <color theme="1"/>
        <rFont val="Arial"/>
        <family val="2"/>
      </rPr>
      <t>1.65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</si>
  <si>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0.65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</si>
  <si>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1.14 Bln Rupees</t>
    </r>
  </si>
  <si>
    <t>8.22 NABARD 25 FEB 2028 - GOI Serviced</t>
  </si>
  <si>
    <r>
      <t xml:space="preserve">AUM for the Month Ended 28th Feb, 2026 : </t>
    </r>
    <r>
      <rPr>
        <sz val="11"/>
        <color theme="1"/>
        <rFont val="Arial"/>
        <family val="2"/>
      </rPr>
      <t>0.28 Bln Rupees</t>
    </r>
  </si>
  <si>
    <t>7.29 TELANGANA SDL 07 August 2042</t>
  </si>
  <si>
    <r>
      <t xml:space="preserve">AUM for the Month Ended 28th Feb, 2026 : </t>
    </r>
    <r>
      <rPr>
        <sz val="11"/>
        <color theme="1"/>
        <rFont val="Arial"/>
        <family val="2"/>
      </rPr>
      <t>0.94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</si>
  <si>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0.01 Bln Rupees</t>
    </r>
  </si>
  <si>
    <t>UNION BANK OF INDIA</t>
  </si>
  <si>
    <t>ASTER DM HEALTHCARE LTD</t>
  </si>
  <si>
    <r>
      <t xml:space="preserve">AUM for the Month Ended 28th Feb, 2026 : </t>
    </r>
    <r>
      <rPr>
        <sz val="11"/>
        <color theme="1"/>
        <rFont val="Arial"/>
        <family val="2"/>
      </rPr>
      <t>0.26 Bln Rupees</t>
    </r>
  </si>
  <si>
    <t>Tata Motors Passenger Vehicles Limited</t>
  </si>
  <si>
    <r>
      <t xml:space="preserve">AUM for the Month Ended 28th Feb, 2026 : </t>
    </r>
    <r>
      <rPr>
        <sz val="11"/>
        <color theme="1"/>
        <rFont val="Arial"/>
        <family val="2"/>
      </rPr>
      <t>1.18 Bln Rupees</t>
    </r>
  </si>
  <si>
    <t>Varun Beverages Limited</t>
  </si>
  <si>
    <r>
      <t xml:space="preserve">AUM for the Month Ended 28th Feb, 2026 : </t>
    </r>
    <r>
      <rPr>
        <sz val="11"/>
        <color theme="1"/>
        <rFont val="Arial"/>
        <family val="2"/>
      </rPr>
      <t>0.72 Bln Rupees</t>
    </r>
  </si>
  <si>
    <t>HDFC ASSET MANAGEMENT COMPANY LIMITED</t>
  </si>
  <si>
    <r>
      <t xml:space="preserve">AUM for the Month Ended 28th Feb, 2026 : </t>
    </r>
    <r>
      <rPr>
        <sz val="11"/>
        <color theme="1"/>
        <rFont val="Arial"/>
        <family val="2"/>
      </rPr>
      <t>0.14 Bln Rupees</t>
    </r>
  </si>
  <si>
    <r>
      <t xml:space="preserve">AUM for the Month Ended 28th Feb, 2026 : </t>
    </r>
    <r>
      <rPr>
        <sz val="11"/>
        <color theme="1"/>
        <rFont val="Arial"/>
        <family val="2"/>
      </rPr>
      <t>0.07 Bln Rupees</t>
    </r>
  </si>
  <si>
    <t>DIXON TECHNOLOGIES INDIA LIMITED</t>
  </si>
  <si>
    <r>
      <t xml:space="preserve">AUM for the Month Ended 28th Feb, 2026 : </t>
    </r>
    <r>
      <rPr>
        <sz val="11"/>
        <color theme="1"/>
        <rFont val="Arial"/>
        <family val="2"/>
      </rPr>
      <t>0.001 Bln Rupees</t>
    </r>
  </si>
  <si>
    <t>Axis Max Life BSE 500 VALUE 50 INDEX PENSION FUND</t>
  </si>
  <si>
    <r>
      <t xml:space="preserve">AUM for the Month Ended 28th Feb, 2026 : </t>
    </r>
    <r>
      <rPr>
        <sz val="11"/>
        <color theme="1"/>
        <rFont val="Arial"/>
        <family val="2"/>
      </rPr>
      <t>0.04 Bln Rupees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</si>
</sst>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</borders>
  <cellStyleXfs count="11">
    <xf numFmtId="0" fontId="0" fillId="0" borderId="0"/>
    <xf numFmtId="0" fontId="3" fillId="0" borderId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/>
    <xf numFmtId="0" fontId="5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1" fillId="0" borderId="0" xfId="0" applyFont="1" applyAlignment="1">
      <alignment horizontal="left"/>
    </xf>
    <xf numFmtId="3" fontId="0" fillId="0" borderId="0" xfId="0" applyNumberFormat="1"/>
    <xf numFmtId="4" fontId="1" fillId="0" borderId="0" xfId="0" applyNumberFormat="1" applyFont="1"/>
    <xf numFmtId="2" fontId="0" fillId="0" borderId="0" xfId="9" applyNumberFormat="1" applyFont="1"/>
    <xf numFmtId="2" fontId="2" fillId="2" borderId="1" xfId="10" applyNumberFormat="1" applyFont="1" applyFill="1" applyBorder="1" applyAlignment="1">
      <alignment horizontal="center"/>
    </xf>
    <xf numFmtId="2" fontId="0" fillId="0" borderId="0" xfId="0" applyNumberFormat="1"/>
    <xf numFmtId="2" fontId="2" fillId="2" borderId="2" xfId="1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7" fillId="0" borderId="0" xfId="0" applyNumberFormat="1" applyFont="1"/>
    <xf numFmtId="2" fontId="7" fillId="0" borderId="0" xfId="0" applyNumberFormat="1" applyFont="1"/>
    <xf numFmtId="2" fontId="7" fillId="0" borderId="0" xfId="9" applyNumberFormat="1" applyFont="1"/>
    <xf numFmtId="0" fontId="7" fillId="0" borderId="0" xfId="0" applyFont="1"/>
    <xf numFmtId="0" fontId="2" fillId="0" borderId="3" xfId="1" applyFont="1" applyBorder="1" applyAlignment="1" applyProtection="1">
      <alignment horizontal="left" vertical="top" wrapText="1"/>
    </xf>
    <xf numFmtId="4" fontId="0" fillId="0" borderId="0" xfId="0" applyNumberFormat="1"/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/>
    </xf>
    <xf numFmtId="0" fontId="11" fillId="0" borderId="4" xfId="0" applyFont="1" applyBorder="1" applyAlignment="1">
      <alignment horizontal="left" vertical="top" wrapText="1"/>
    </xf>
    <xf numFmtId="0" fontId="10" fillId="0" borderId="0" xfId="1" applyFont="1" applyAlignment="1" applyProtection="1">
      <alignment horizontal="left"/>
    </xf>
    <xf numFmtId="0" fontId="5" fillId="0" borderId="0" xfId="0" applyFont="1"/>
    <xf numFmtId="4" fontId="5" fillId="0" borderId="0" xfId="0" applyNumberFormat="1" applyFont="1"/>
    <xf numFmtId="2" fontId="5" fillId="0" borderId="0" xfId="0" applyNumberFormat="1" applyFont="1"/>
    <xf numFmtId="0" fontId="9" fillId="0" borderId="0" xfId="1" applyFont="1" applyAlignment="1" applyProtection="1">
      <alignment horizontal="left"/>
    </xf>
    <xf numFmtId="164" fontId="0" fillId="0" borderId="0" xfId="0" applyNumberFormat="1"/>
    <xf numFmtId="164" fontId="5" fillId="0" borderId="0" xfId="0" applyNumberFormat="1" applyFont="1"/>
    <xf numFmtId="2" fontId="2" fillId="0" borderId="0" xfId="0" applyNumberFormat="1" applyFont="1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left" vertical="top" wrapText="1"/>
    </xf>
    <xf numFmtId="2" fontId="2" fillId="2" borderId="5" xfId="0" applyNumberFormat="1" applyFont="1" applyFill="1" applyBorder="1"/>
    <xf numFmtId="2" fontId="2" fillId="2" borderId="6" xfId="0" applyNumberFormat="1" applyFont="1" applyFill="1" applyBorder="1"/>
    <xf numFmtId="2" fontId="6" fillId="0" borderId="0" xfId="0" applyNumberFormat="1" applyFont="1"/>
    <xf numFmtId="2" fontId="9" fillId="0" borderId="0" xfId="1" applyNumberFormat="1" applyFont="1" applyAlignment="1" applyProtection="1">
      <alignment horizontal="left"/>
    </xf>
    <xf numFmtId="2" fontId="8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2" fontId="11" fillId="0" borderId="4" xfId="0" applyNumberFormat="1" applyFont="1" applyBorder="1" applyAlignment="1">
      <alignment horizontal="left" vertical="top" wrapText="1"/>
    </xf>
    <xf numFmtId="2" fontId="2" fillId="0" borderId="3" xfId="1" applyNumberFormat="1" applyFont="1" applyBorder="1" applyAlignment="1" applyProtection="1">
      <alignment horizontal="left" vertical="top" wrapText="1"/>
    </xf>
    <xf numFmtId="2" fontId="2" fillId="0" borderId="0" xfId="0" applyNumberFormat="1" applyFont="1" applyAlignment="1">
      <alignment horizontal="left"/>
    </xf>
    <xf numFmtId="0" fontId="8" fillId="0" borderId="4" xfId="0" applyFont="1" applyBorder="1" applyAlignment="1">
      <alignment horizontal="left"/>
    </xf>
    <xf numFmtId="0" fontId="12" fillId="0" borderId="7" xfId="0" applyFont="1" applyBorder="1"/>
    <xf numFmtId="2" fontId="12" fillId="0" borderId="8" xfId="0" applyNumberFormat="1" applyFont="1" applyBorder="1"/>
    <xf numFmtId="0" fontId="13" fillId="0" borderId="9" xfId="0" applyFont="1" applyBorder="1"/>
    <xf numFmtId="2" fontId="13" fillId="0" borderId="10" xfId="0" applyNumberFormat="1" applyFont="1" applyBorder="1"/>
    <xf numFmtId="2" fontId="12" fillId="0" borderId="3" xfId="0" applyNumberFormat="1" applyFont="1" applyBorder="1"/>
    <xf numFmtId="0" fontId="13" fillId="0" borderId="4" xfId="0" applyFont="1" applyBorder="1"/>
    <xf numFmtId="0" fontId="12" fillId="0" borderId="3" xfId="0" applyFont="1" applyBorder="1"/>
    <xf numFmtId="0" fontId="13" fillId="0" borderId="11" xfId="0" applyFont="1" applyBorder="1"/>
    <xf numFmtId="0" fontId="13" fillId="0" borderId="12" xfId="0" applyFont="1" applyBorder="1"/>
    <xf numFmtId="2" fontId="13" fillId="0" borderId="13" xfId="0" applyNumberFormat="1" applyFont="1" applyBorder="1"/>
    <xf numFmtId="2" fontId="13" fillId="0" borderId="4" xfId="0" applyNumberFormat="1" applyFont="1" applyBorder="1"/>
    <xf numFmtId="2" fontId="2" fillId="2" borderId="3" xfId="10" applyNumberFormat="1" applyFont="1" applyFill="1" applyBorder="1" applyAlignment="1">
      <alignment horizontal="center" vertical="center"/>
    </xf>
    <xf numFmtId="0" fontId="7" fillId="0" borderId="14" xfId="0" applyFont="1" applyBorder="1"/>
    <xf numFmtId="0" fontId="2" fillId="0" borderId="0" xfId="0" applyFont="1"/>
    <xf numFmtId="2" fontId="12" fillId="0" borderId="7" xfId="0" applyNumberFormat="1" applyFont="1" applyBorder="1"/>
    <xf numFmtId="2" fontId="13" fillId="0" borderId="12" xfId="0" applyNumberFormat="1" applyFont="1" applyBorder="1"/>
    <xf numFmtId="0" fontId="3" fillId="0" borderId="0" xfId="1">
      <alignment vertical="top"/>
      <protection locked="0"/>
    </xf>
    <xf numFmtId="2" fontId="0" fillId="0" borderId="8" xfId="0" applyNumberFormat="1" applyBorder="1"/>
    <xf numFmtId="2" fontId="13" fillId="0" borderId="9" xfId="0" applyNumberFormat="1" applyFont="1" applyBorder="1"/>
    <xf numFmtId="165" fontId="2" fillId="0" borderId="3" xfId="1" applyNumberFormat="1" applyFont="1" applyBorder="1" applyAlignment="1" applyProtection="1">
      <alignment horizontal="left" vertical="top" wrapText="1"/>
    </xf>
    <xf numFmtId="2" fontId="4" fillId="0" borderId="15" xfId="0" applyNumberFormat="1" applyFont="1" applyBorder="1" applyAlignment="1">
      <alignment horizontal="center" vertical="center"/>
    </xf>
    <xf numFmtId="0" fontId="0" fillId="0" borderId="6" xfId="0" applyBorder="1"/>
    <xf numFmtId="0" fontId="2" fillId="0" borderId="16" xfId="0" applyFont="1" applyBorder="1" applyAlignment="1">
      <alignment horizontal="center" vertical="center"/>
    </xf>
    <xf numFmtId="0" fontId="0" fillId="0" borderId="17" xfId="0" applyBorder="1"/>
    <xf numFmtId="2" fontId="2" fillId="0" borderId="18" xfId="9" applyNumberFormat="1" applyFont="1" applyBorder="1" applyAlignment="1">
      <alignment horizontal="center" vertical="center" wrapText="1"/>
    </xf>
    <xf numFmtId="2" fontId="0" fillId="0" borderId="19" xfId="0" applyNumberFormat="1" applyBorder="1"/>
    <xf numFmtId="0" fontId="0" fillId="0" borderId="19" xfId="0" applyBorder="1"/>
    <xf numFmtId="2" fontId="2" fillId="0" borderId="16" xfId="0" applyNumberFormat="1" applyFont="1" applyBorder="1" applyAlignment="1">
      <alignment horizontal="center" vertical="center"/>
    </xf>
  </cellXfs>
  <cellStyles count="11">
    <cellStyle name="Hyperlink" xfId="1" builtinId="8"/>
    <cellStyle name="Normal" xfId="0" builtinId="0"/>
    <cellStyle name="Normal 10" xfId="2" xr:uid="{04BD2BF1-82D9-4D24-AC2F-667095041C59}"/>
    <cellStyle name="Normal 18" xfId="3" xr:uid="{5865F31A-69F2-41E8-BD58-80CA71324954}"/>
    <cellStyle name="Normal 2" xfId="4" xr:uid="{B8AC1EF8-FC48-44DC-9B2B-BD493AA5CEF9}"/>
    <cellStyle name="Normal 24" xfId="5" xr:uid="{71C02F48-2B2F-4247-BCD6-43F42606C29C}"/>
    <cellStyle name="Normal 42" xfId="6" xr:uid="{9E59CC68-BA7E-4FDB-B235-5872C3D52A6D}"/>
    <cellStyle name="Normal 6" xfId="7" xr:uid="{08D103BC-4283-4BBB-9BC1-6336482531E6}"/>
    <cellStyle name="Normal 61" xfId="8" xr:uid="{A7150E4C-BECB-4CC1-9381-8BED5093B4B6}"/>
    <cellStyle name="Percent" xfId="9" builtinId="5"/>
    <cellStyle name="Style 1" xfId="10" xr:uid="{930F15CB-FCB3-4D0A-BB15-C77E8ECABF3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CCBE-DBA9-4C76-92A3-61D5AFEEF00E}">
  <sheetPr codeName="Sheet1"/>
  <dimension ref="A1:F67"/>
  <sheetViews>
    <sheetView tabSelected="1" zoomScaleNormal="100" workbookViewId="0"/>
  </sheetViews>
  <sheetFormatPr defaultRowHeight="15" x14ac:dyDescent="0.2"/>
  <cols>
    <col min="1" max="1" width="60" style="4" bestFit="1" customWidth="1"/>
    <col min="2" max="2" width="18.42578125" style="4" customWidth="1"/>
    <col min="3" max="3" width="102" style="3" customWidth="1"/>
    <col min="4" max="4" width="9.140625" style="3" customWidth="1"/>
    <col min="5" max="5" width="9.140625" style="1" customWidth="1"/>
    <col min="6" max="6" width="9.140625" style="6" customWidth="1"/>
    <col min="7" max="12" width="9.140625" style="1" customWidth="1"/>
    <col min="13" max="16384" width="9.140625" style="1"/>
  </cols>
  <sheetData>
    <row r="1" spans="1:3" ht="16.5" customHeight="1" thickBot="1" x14ac:dyDescent="0.3">
      <c r="A1" s="39" t="s">
        <v>0</v>
      </c>
      <c r="B1" s="39"/>
      <c r="C1" s="28"/>
    </row>
    <row r="2" spans="1:3" ht="15.75" customHeight="1" thickTop="1" thickBot="1" x14ac:dyDescent="0.25">
      <c r="A2" s="25" t="s">
        <v>39</v>
      </c>
      <c r="B2" s="25"/>
      <c r="C2" s="61" t="s">
        <v>40</v>
      </c>
    </row>
    <row r="3" spans="1:3" ht="15.75" customHeight="1" thickTop="1" thickBot="1" x14ac:dyDescent="0.25">
      <c r="A3" s="25" t="s">
        <v>41</v>
      </c>
      <c r="B3" s="25"/>
      <c r="C3" s="62"/>
    </row>
    <row r="4" spans="1:3" ht="15" customHeight="1" thickTop="1" x14ac:dyDescent="0.25">
      <c r="A4" s="25" t="s">
        <v>42</v>
      </c>
      <c r="B4" s="25"/>
      <c r="C4" s="31" t="s">
        <v>1</v>
      </c>
    </row>
    <row r="5" spans="1:3" ht="15" customHeight="1" x14ac:dyDescent="0.25">
      <c r="A5" s="25" t="s">
        <v>43</v>
      </c>
      <c r="B5" s="25"/>
      <c r="C5" s="31"/>
    </row>
    <row r="6" spans="1:3" ht="15" customHeight="1" x14ac:dyDescent="0.25">
      <c r="A6" s="25" t="s">
        <v>44</v>
      </c>
      <c r="B6" s="25"/>
      <c r="C6" s="31" t="s">
        <v>243</v>
      </c>
    </row>
    <row r="7" spans="1:3" ht="15" customHeight="1" x14ac:dyDescent="0.25">
      <c r="A7" s="25" t="s">
        <v>45</v>
      </c>
      <c r="B7" s="25"/>
      <c r="C7" s="31"/>
    </row>
    <row r="8" spans="1:3" ht="15" customHeight="1" thickBot="1" x14ac:dyDescent="0.3">
      <c r="A8" s="25" t="s">
        <v>46</v>
      </c>
      <c r="B8" s="25"/>
      <c r="C8" s="32" t="s">
        <v>260</v>
      </c>
    </row>
    <row r="9" spans="1:3" ht="16.5" customHeight="1" thickTop="1" x14ac:dyDescent="0.25">
      <c r="A9" s="25" t="s">
        <v>47</v>
      </c>
      <c r="B9" s="25"/>
      <c r="C9" s="28"/>
    </row>
    <row r="10" spans="1:3" ht="15.75" customHeight="1" x14ac:dyDescent="0.25">
      <c r="A10" s="25" t="s">
        <v>48</v>
      </c>
      <c r="B10" s="25"/>
      <c r="C10" s="33"/>
    </row>
    <row r="11" spans="1:3" ht="15.75" customHeight="1" x14ac:dyDescent="0.25">
      <c r="A11" s="25" t="s">
        <v>49</v>
      </c>
      <c r="B11" s="25"/>
      <c r="C11" s="33"/>
    </row>
    <row r="12" spans="1:3" ht="15.75" customHeight="1" x14ac:dyDescent="0.25">
      <c r="A12" s="25" t="s">
        <v>50</v>
      </c>
      <c r="B12" s="25"/>
      <c r="C12" s="33"/>
    </row>
    <row r="13" spans="1:3" x14ac:dyDescent="0.2">
      <c r="A13" s="25" t="s">
        <v>51</v>
      </c>
      <c r="B13" s="25"/>
    </row>
    <row r="14" spans="1:3" x14ac:dyDescent="0.2">
      <c r="A14" s="25" t="s">
        <v>52</v>
      </c>
      <c r="B14" s="25"/>
    </row>
    <row r="15" spans="1:3" x14ac:dyDescent="0.2">
      <c r="A15" s="25" t="s">
        <v>53</v>
      </c>
      <c r="B15" s="25"/>
    </row>
    <row r="16" spans="1:3" x14ac:dyDescent="0.2">
      <c r="A16" s="25" t="s">
        <v>54</v>
      </c>
      <c r="B16" s="25"/>
    </row>
    <row r="17" spans="1:3" x14ac:dyDescent="0.2">
      <c r="A17" s="25" t="s">
        <v>55</v>
      </c>
      <c r="B17" s="25"/>
    </row>
    <row r="18" spans="1:3" ht="15.75" customHeight="1" x14ac:dyDescent="0.25">
      <c r="A18" s="25" t="s">
        <v>56</v>
      </c>
      <c r="B18" s="25"/>
      <c r="C18" s="28"/>
    </row>
    <row r="19" spans="1:3" x14ac:dyDescent="0.2">
      <c r="A19" s="25" t="s">
        <v>57</v>
      </c>
      <c r="B19" s="25"/>
    </row>
    <row r="20" spans="1:3" ht="15.75" customHeight="1" x14ac:dyDescent="0.25">
      <c r="A20" s="25" t="s">
        <v>58</v>
      </c>
      <c r="B20" s="25"/>
      <c r="C20" s="28"/>
    </row>
    <row r="21" spans="1:3" x14ac:dyDescent="0.2">
      <c r="A21" s="25" t="s">
        <v>59</v>
      </c>
      <c r="B21" s="25"/>
    </row>
    <row r="22" spans="1:3" x14ac:dyDescent="0.2">
      <c r="A22" s="25" t="s">
        <v>60</v>
      </c>
      <c r="B22" s="25"/>
    </row>
    <row r="23" spans="1:3" x14ac:dyDescent="0.2">
      <c r="A23" s="25" t="s">
        <v>61</v>
      </c>
      <c r="B23" s="25"/>
    </row>
    <row r="24" spans="1:3" x14ac:dyDescent="0.2">
      <c r="A24" s="25" t="s">
        <v>62</v>
      </c>
      <c r="B24" s="25"/>
    </row>
    <row r="25" spans="1:3" x14ac:dyDescent="0.2">
      <c r="A25" s="25" t="s">
        <v>63</v>
      </c>
      <c r="B25" s="25"/>
    </row>
    <row r="26" spans="1:3" x14ac:dyDescent="0.2">
      <c r="A26" s="25" t="s">
        <v>64</v>
      </c>
      <c r="B26" s="25"/>
    </row>
    <row r="27" spans="1:3" x14ac:dyDescent="0.2">
      <c r="A27" s="25" t="s">
        <v>65</v>
      </c>
      <c r="B27" s="25"/>
    </row>
    <row r="28" spans="1:3" x14ac:dyDescent="0.2">
      <c r="A28" s="25" t="s">
        <v>66</v>
      </c>
      <c r="B28" s="25"/>
    </row>
    <row r="29" spans="1:3" x14ac:dyDescent="0.2">
      <c r="A29" s="25" t="s">
        <v>67</v>
      </c>
      <c r="B29" s="25"/>
    </row>
    <row r="30" spans="1:3" x14ac:dyDescent="0.2">
      <c r="A30" s="25" t="s">
        <v>68</v>
      </c>
      <c r="B30" s="25"/>
    </row>
    <row r="31" spans="1:3" x14ac:dyDescent="0.2">
      <c r="A31" s="25" t="s">
        <v>69</v>
      </c>
      <c r="B31" s="25"/>
    </row>
    <row r="32" spans="1:3" x14ac:dyDescent="0.2">
      <c r="A32" s="25" t="s">
        <v>70</v>
      </c>
      <c r="B32" s="25"/>
    </row>
    <row r="33" spans="1:2" x14ac:dyDescent="0.2">
      <c r="A33" s="25" t="s">
        <v>71</v>
      </c>
      <c r="B33" s="25"/>
    </row>
    <row r="34" spans="1:2" x14ac:dyDescent="0.2">
      <c r="A34" s="25" t="s">
        <v>72</v>
      </c>
      <c r="B34" s="25"/>
    </row>
    <row r="35" spans="1:2" ht="15.75" customHeight="1" x14ac:dyDescent="0.25">
      <c r="A35" s="25" t="s">
        <v>73</v>
      </c>
      <c r="B35" s="21"/>
    </row>
    <row r="36" spans="1:2" ht="15.75" customHeight="1" x14ac:dyDescent="0.25">
      <c r="A36" s="25" t="s">
        <v>74</v>
      </c>
      <c r="B36" s="21"/>
    </row>
    <row r="37" spans="1:2" ht="15.75" customHeight="1" x14ac:dyDescent="0.25">
      <c r="A37" s="25" t="s">
        <v>94</v>
      </c>
      <c r="B37" s="21"/>
    </row>
    <row r="38" spans="1:2" ht="15.75" customHeight="1" x14ac:dyDescent="0.25">
      <c r="A38" s="25" t="s">
        <v>101</v>
      </c>
      <c r="B38" s="21"/>
    </row>
    <row r="39" spans="1:2" ht="15.75" customHeight="1" x14ac:dyDescent="0.25">
      <c r="A39" s="25" t="s">
        <v>106</v>
      </c>
      <c r="B39" s="21"/>
    </row>
    <row r="40" spans="1:2" ht="15.75" customHeight="1" x14ac:dyDescent="0.25">
      <c r="A40" s="25" t="s">
        <v>110</v>
      </c>
      <c r="B40" s="21"/>
    </row>
    <row r="41" spans="1:2" ht="15.75" customHeight="1" x14ac:dyDescent="0.25">
      <c r="A41" s="25" t="s">
        <v>116</v>
      </c>
      <c r="B41" s="21"/>
    </row>
    <row r="42" spans="1:2" ht="15.75" customHeight="1" x14ac:dyDescent="0.25">
      <c r="A42" s="25" t="s">
        <v>209</v>
      </c>
      <c r="B42" s="21"/>
    </row>
    <row r="43" spans="1:2" ht="15.75" customHeight="1" x14ac:dyDescent="0.25">
      <c r="A43" s="25" t="s">
        <v>216</v>
      </c>
      <c r="B43" s="21"/>
    </row>
    <row r="44" spans="1:2" ht="15.75" customHeight="1" x14ac:dyDescent="0.25">
      <c r="A44" s="25" t="s">
        <v>215</v>
      </c>
      <c r="B44" s="21"/>
    </row>
    <row r="45" spans="1:2" ht="15.75" customHeight="1" x14ac:dyDescent="0.25">
      <c r="A45" s="25" t="s">
        <v>217</v>
      </c>
      <c r="B45" s="21"/>
    </row>
    <row r="46" spans="1:2" ht="15.75" customHeight="1" x14ac:dyDescent="0.25">
      <c r="A46" s="25" t="s">
        <v>258</v>
      </c>
      <c r="B46" s="21"/>
    </row>
    <row r="47" spans="1:2" ht="15.75" customHeight="1" x14ac:dyDescent="0.25">
      <c r="A47" s="25" t="s">
        <v>259</v>
      </c>
      <c r="B47" s="21"/>
    </row>
    <row r="48" spans="1:2" ht="15.75" customHeight="1" x14ac:dyDescent="0.25">
      <c r="A48" s="25" t="s">
        <v>339</v>
      </c>
      <c r="B48" s="21"/>
    </row>
    <row r="49" spans="1:2" ht="15.75" customHeight="1" x14ac:dyDescent="0.25">
      <c r="A49" s="21"/>
      <c r="B49" s="21"/>
    </row>
    <row r="50" spans="1:2" ht="15.75" customHeight="1" x14ac:dyDescent="0.25">
      <c r="A50" s="21"/>
      <c r="B50" s="21"/>
    </row>
    <row r="51" spans="1:2" ht="15.75" customHeight="1" x14ac:dyDescent="0.25">
      <c r="A51" s="21"/>
      <c r="B51" s="21"/>
    </row>
    <row r="52" spans="1:2" ht="15.75" customHeight="1" x14ac:dyDescent="0.25">
      <c r="A52" s="21"/>
      <c r="B52" s="21"/>
    </row>
    <row r="53" spans="1:2" ht="15.75" customHeight="1" x14ac:dyDescent="0.25">
      <c r="A53" s="21"/>
      <c r="B53" s="21"/>
    </row>
    <row r="54" spans="1:2" ht="15.75" customHeight="1" x14ac:dyDescent="0.25">
      <c r="A54" s="21"/>
      <c r="B54" s="21"/>
    </row>
    <row r="55" spans="1:2" ht="15.75" customHeight="1" x14ac:dyDescent="0.25">
      <c r="A55" s="21"/>
      <c r="B55" s="21"/>
    </row>
    <row r="56" spans="1:2" ht="15.75" customHeight="1" x14ac:dyDescent="0.25">
      <c r="A56" s="21"/>
      <c r="B56" s="21"/>
    </row>
    <row r="57" spans="1:2" ht="15.75" customHeight="1" x14ac:dyDescent="0.25">
      <c r="A57" s="21"/>
      <c r="B57" s="21"/>
    </row>
    <row r="58" spans="1:2" ht="15.75" customHeight="1" x14ac:dyDescent="0.25">
      <c r="A58" s="21"/>
      <c r="B58" s="21"/>
    </row>
    <row r="59" spans="1:2" ht="15.75" customHeight="1" x14ac:dyDescent="0.25">
      <c r="A59" s="21"/>
      <c r="B59" s="21"/>
    </row>
    <row r="60" spans="1:2" ht="15.75" customHeight="1" x14ac:dyDescent="0.25">
      <c r="A60" s="21"/>
      <c r="B60" s="21"/>
    </row>
    <row r="61" spans="1:2" ht="15.75" customHeight="1" x14ac:dyDescent="0.25">
      <c r="A61" s="21"/>
      <c r="B61" s="21"/>
    </row>
    <row r="62" spans="1:2" ht="15.75" customHeight="1" x14ac:dyDescent="0.25">
      <c r="A62" s="21"/>
      <c r="B62" s="21"/>
    </row>
    <row r="63" spans="1:2" ht="15.75" customHeight="1" x14ac:dyDescent="0.25">
      <c r="A63" s="21"/>
      <c r="B63" s="21"/>
    </row>
    <row r="64" spans="1:2" ht="15.75" customHeight="1" x14ac:dyDescent="0.25">
      <c r="A64" s="21"/>
      <c r="B64" s="21"/>
    </row>
    <row r="65" spans="1:2" ht="15.75" customHeight="1" x14ac:dyDescent="0.25">
      <c r="A65" s="21"/>
      <c r="B65" s="21"/>
    </row>
    <row r="66" spans="1:2" ht="15.75" customHeight="1" x14ac:dyDescent="0.25">
      <c r="A66" s="21"/>
      <c r="B66" s="21"/>
    </row>
    <row r="67" spans="1:2" ht="15.75" customHeight="1" x14ac:dyDescent="0.25">
      <c r="A67" s="21"/>
      <c r="B67" s="21"/>
    </row>
  </sheetData>
  <mergeCells count="1">
    <mergeCell ref="C2:C3"/>
  </mergeCells>
  <hyperlinks>
    <hyperlink ref="A2" location="'Ul Life Growth Super Fund'!A1" display="Max Life Ul Life Growth Super Fund" xr:uid="{3BD31571-854B-4563-A0FA-72F8FCBEDFC9}"/>
    <hyperlink ref="A3" location="'Max Life High Growth Fund'!A1" display="Max Life High Growth Fund" xr:uid="{BA338686-BE60-4D32-9389-4FC1175151CC}"/>
    <hyperlink ref="A4" location="'Ul Life Growth Fund'!A1" display="Max Life Ul Life Growth Fund" xr:uid="{A0E9C7A8-FEA5-4D88-B8AA-79EAE5AF32D8}"/>
    <hyperlink ref="A5" location="'Ul Life Balanced Fund'!A1" display="Max Life Ul Life Balanced Fund" xr:uid="{DDE27636-A791-48C1-88E3-4C9E889CDD36}"/>
    <hyperlink ref="A6" location="'Ul Life Conservative Fund'!A1" display="Max Life Ul Life Conservative Fund" xr:uid="{B24834AE-3E06-44C3-95BE-E4FC763F3CC4}"/>
    <hyperlink ref="A7" location="'Max Life Ul Life Secured Fund'!A1" display="Max Life Ul Life Secured Fund" xr:uid="{E18463B7-2A2D-48BD-A57F-2DE3650906D6}"/>
    <hyperlink ref="A8" location="'Dynamic Opportuinities Fund'!A1" display="Max Life Dynamic Opportuinities Fund" xr:uid="{C79F4256-783E-4F64-853C-66EB71920B67}"/>
    <hyperlink ref="A9" location="'Max Life Ul Money Market Fund'!A1" display="Max Life Ul Money Market Fund" xr:uid="{D358E462-26C4-4561-B1D6-D3C97FAA4CAF}"/>
    <hyperlink ref="A10" location="'Max Life Ul Secure Plus'!A1" display="Max Life Ul Secure Plus" xr:uid="{1513B66E-596A-4A9B-9497-AA308421126A}"/>
    <hyperlink ref="A11" location="'Guaranteed Fund‐ Dynamic'!A1" display="Max Life Guaranteed Fund‐ Dynamic" xr:uid="{8797B82B-CD1F-465C-8209-53E13E5AFF3A}"/>
    <hyperlink ref="A12" location="'Max Life Guaranteed Fund‐Income'!A1" display="Max Life Guaranteed Fund‐Income" xr:uid="{6320E28B-5994-47A9-BEF4-4D95FFFEA07F}"/>
    <hyperlink ref="A13" location="'Ul Life Diversified Equity Fund'!A1" display="Max Life Ul Life Diversified Equity Fund" xr:uid="{7AC32BD5-402C-4770-945C-E7CC4CF7FD35}"/>
    <hyperlink ref="A14" location="'UL MONEY MARKET II FUND'!A1" display="Max Life Ul Money Market Ii Fund" xr:uid="{D9FDF11F-9BC8-49FD-BFFD-0EB33FEE546D}"/>
    <hyperlink ref="A15" location="'UI Life Sustainable Equity Fund'!A1" display="Max Life Ul Sustainable Equity Fund" xr:uid="{380FF0A8-7EA5-4776-9039-7A080BDAF932}"/>
    <hyperlink ref="A16" location="'Ul Life Dynamic Bond Fund'!A1" display="Max Life Ul Life Dynamic Bond Fund" xr:uid="{8D04FB0B-6E64-4B6E-8026-3A61496475A8}"/>
    <hyperlink ref="A17" location="'DISCONTINUANCE FUND INDIVIDUAL'!A1" display="Max Life Discontinuance Fund Individual" xr:uid="{46D50085-0175-42BE-9972-C3B1A3E992D8}"/>
    <hyperlink ref="A18" location="'UL PENSION GROWTH SUPER FUND'!A1" display="Max Life Ul Pension Growth Super Fund" xr:uid="{32A64A18-6665-445A-A486-932CB0E1565A}"/>
    <hyperlink ref="A19" location="'Pension Life Growth Fund'!A1" display="Max Life Pension Life Growth Fund" xr:uid="{A270F0C2-0204-4A65-8C68-2609F610D44F}"/>
    <hyperlink ref="A20" location="'Lifemaker Pension Maximiser'!A1" display="Max Life Lifemaker Pension Maximiser Fund" xr:uid="{0EF2C35C-4D80-49C2-9A52-F0A49DEBF1BA}"/>
    <hyperlink ref="A21" location="'Pension Life Balanced Fund'!A1" display="Max Life Pension Life Balanced Fund" xr:uid="{F09C1EC4-C9B3-450C-93E8-4AD3BCEA3133}"/>
    <hyperlink ref="A22" location="'Lifemaker Pension Preserver'!A1" display="Max Life Lifemaker Pension Preserver Fund" xr:uid="{5098E9F3-0E52-4480-95D5-9B4B7D51E6D1}"/>
    <hyperlink ref="A23" location="'Pension Life Conservative Fund'!A1" display="Max Life Pension Life Conservative Fund" xr:uid="{281CDA59-E5EB-4B61-AD06-3924271C3AA4}"/>
    <hyperlink ref="A24" location="'Pension Life Secured Fund'!A1" display="Max Life Pension Life Secured Fund" xr:uid="{F8012149-F9A8-4B50-825A-D443C1C963B9}"/>
    <hyperlink ref="A25" location="'Discontinuance Fund Pension'!A1" display="Max Life Discontinuance Fund Pension" xr:uid="{21364FCD-62DF-417D-A545-D6EDD3CEA56F}"/>
    <hyperlink ref="A26" location="'Gr Gratuity Growth Fund'!A1" display="Max Life Gr Gratuity Growth Fund" xr:uid="{EAD09796-FBB2-46F3-B6F0-9DC6A1C684AC}"/>
    <hyperlink ref="A27" location="'Gr Gratuity Balanced Fund'!A1" display="Max Life Gr Gratuity Balanced Fund" xr:uid="{8DA760BA-B7FA-4B1D-BF3E-C1F84F94FC30}"/>
    <hyperlink ref="A28" location="'Group Gratuity Bond Fund'!A1" display="Max Life Group Gratuity Bond Fund." xr:uid="{AE844B55-AFC1-41FB-995E-B41708C7F1AE}"/>
    <hyperlink ref="A29" location="'Gr Gratuity Conservative Fund'!A1" display="Max Life Gr Gratuity Conservative Fund" xr:uid="{4E76513E-3EBA-447B-AF17-D9F1AECF0745}"/>
    <hyperlink ref="A30" location="'Gr Superannuation Conservative'!A1" display="Max Life Group Superannuation Conservative Fund" xr:uid="{02B34D70-E1DA-414B-B743-E70AFA9E3193}"/>
    <hyperlink ref="A31" location="'UL PURE GROWTH FUND'!A1" display="Max Life Ul Pure Growth Fund" xr:uid="{9FEBAA28-1283-4BAA-AE49-AB810B7EA955}"/>
    <hyperlink ref="A32" location="'SMALLCAP QUALITY INDEX FUND'!A1" display="Max Life NIFTY SMALLCAP QUALITY INDEX FUND" xr:uid="{A8CE66DB-4C93-4429-8820-F18C5FCF7850}"/>
    <hyperlink ref="A33" location="'MIDCAP MOMENTUM INDEX FUND'!A1" display="Max Life MIDCAP MOMENTUM INDEX FUND" xr:uid="{4F50D0F0-5BFB-4D02-A9FF-4C6D086604A5}"/>
    <hyperlink ref="A34" location="'NIFTY ALPHA 50 FUND'!A1" display="Max Life NIFTY ALPHA 50 FUND" xr:uid="{AA37571F-D2C4-4007-B601-6014C34AF40B}"/>
    <hyperlink ref="A36" location="'NIFTY MOMENTUM QUALITY 50 FUND'!A1" display="Max Life NIFTY MOMENTUM QUALITY 50 FUND" xr:uid="{3E006A57-02D4-470E-82BD-FE5D7E6F1118}"/>
    <hyperlink ref="A37" location="'SUSTAINABLE WEALTH 50 INDEX FUN'!A1" display="Axis Max Life SUSTAINABLE WEALTH 50 INDEX FUND" xr:uid="{3F22AB29-AFBC-4DED-B481-F689CDDBEA79}"/>
    <hyperlink ref="A38" location="'SMART INNOVATION FUND'!A1" display="Axis Max Life SMART INNOVATION FUND" xr:uid="{77AB8333-7F32-4FD0-8C30-9E67D054F3E1}"/>
    <hyperlink ref="A35" location="'Max Life NIFTY 500 MOMENTUM 50'!A1" display="Axis Max Life NIFTY 500 MOMENTUM 50 FUND" xr:uid="{54AFEBF4-721B-44D5-A2D8-A12D38913C64}"/>
    <hyperlink ref="A39" location="'Nifty 500 Multifactor 50 Index '!A1" display="Axis Max Life Nifty 500 Multifactor 50 Index Fund " xr:uid="{D53C9524-0639-4D29-A70C-D1B4FB0D0EE1}"/>
    <hyperlink ref="A40" location="'NIFTY 500 MULTIFACTOR 50 PENSIO'!A1" display="Axis Max Life Nifty 500 Multifactor 50 Index Pension Fund " xr:uid="{6A62B461-37BD-46A4-AA10-09F4991F5400}"/>
    <hyperlink ref="A41" location="'BSE 500 Value 50 Index Fund'!A1" display="Axis Max Life BSE 500 Value 50 Index Fund" xr:uid="{DC2241BD-DFB4-43DC-8274-BF924D9447A0}"/>
    <hyperlink ref="A42" location="'INDIA CONSUMPTION OPPORTUNITIES'!A1" display="Axis Max Life INDIA CONSUMPTION OPPORTUNITIES FUND" xr:uid="{2F9D0F91-5973-4D86-925D-5C126BD3466F}"/>
    <hyperlink ref="A43" location="'BSE 500 DIVIDEND LEADERS 50 IND'!A1" display="Axis Max Life BSE 500 DIVIDEND LEADERS 50 INDEX FUND" xr:uid="{ADD040AB-AF56-407F-A7D9-F51B5256C750}"/>
    <hyperlink ref="A44" location="'HIGH GROWTH PENSION FUND'!A1" display="Axis Max Life HIGH GROWTH PENSION FUND" xr:uid="{03651A42-C3C3-45B0-A68D-57A16F26C1C5}"/>
    <hyperlink ref="A45" location="'BSE 500 DIVIDEND LE 50 IND PENS'!A1" display="Axis Max Life BSE 500 DIVIDEND LEADERS 50 INDEX PENSION FUND" xr:uid="{D5C46780-1DF9-45F1-A163-30DE77210ADE}"/>
    <hyperlink ref="A47" location="'Diversified Equity Fund II'!A1" display="Axis Max Life Diversified Equity Fund II" xr:uid="{FB177A46-1C7F-49A3-A0D3-A1B035B4D633}"/>
    <hyperlink ref="A46" location="'High Growth Fund II'!A1" display="Axis Max Life High Growth Fund II" xr:uid="{ABB13CEA-F6A8-4C29-AD5A-D1E660347372}"/>
    <hyperlink ref="A48" location="'BSE 500 VALUE 50 INDEX PENSION '!A1" display="Axis Max Life BSE 500 VALUE 50 INDEX PENSION FUND" xr:uid="{1A9BF443-9FA5-461A-9FEF-C2CC117477A2}"/>
  </hyperlinks>
  <pageMargins left="0.75" right="0.75" top="1" bottom="1" header="0.5" footer="0.5"/>
  <pageSetup orientation="portrait" verticalDpi="1200"/>
  <headerFooter alignWithMargins="0">
    <oddFooter>&amp;L&amp;"Calibri"&amp;9 &amp;K000000#Cogencis Information classification: Official_x000D_&amp;1#&amp;"Aptos"&amp;9&amp;K000000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6D01-7A76-4A61-8C70-6ABD44D96B4F}">
  <sheetPr codeName="Sheet2"/>
  <dimension ref="A1:G2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5.7109375" bestFit="1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75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261</v>
      </c>
      <c r="B3" s="9"/>
      <c r="C3" s="9"/>
      <c r="D3" s="5"/>
      <c r="E3" s="5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  <c r="E5" s="17"/>
    </row>
    <row r="6" spans="1:7" ht="16.5" customHeight="1" thickTop="1" thickBot="1" x14ac:dyDescent="0.25">
      <c r="A6" s="64"/>
      <c r="B6" s="10" t="s">
        <v>6</v>
      </c>
      <c r="C6" s="66"/>
    </row>
    <row r="7" spans="1:7" ht="16.5" customHeight="1" thickTop="1" thickBot="1" x14ac:dyDescent="0.3">
      <c r="A7" s="43" t="s">
        <v>19</v>
      </c>
      <c r="B7" s="52"/>
      <c r="C7" s="58"/>
    </row>
    <row r="8" spans="1:7" ht="13.5" customHeight="1" x14ac:dyDescent="0.25">
      <c r="A8" s="41" t="s">
        <v>8</v>
      </c>
      <c r="B8" s="45">
        <v>9364.0895999999993</v>
      </c>
      <c r="C8" s="42">
        <v>7.6499999999999995</v>
      </c>
    </row>
    <row r="9" spans="1:7" ht="15" x14ac:dyDescent="0.25">
      <c r="A9" s="41" t="s">
        <v>7</v>
      </c>
      <c r="B9" s="45">
        <v>9107.0361599999997</v>
      </c>
      <c r="C9" s="42">
        <v>7.4399999999999995</v>
      </c>
    </row>
    <row r="10" spans="1:7" ht="15" x14ac:dyDescent="0.25">
      <c r="A10" s="41" t="s">
        <v>9</v>
      </c>
      <c r="B10" s="45">
        <v>7674.8812800000005</v>
      </c>
      <c r="C10" s="42">
        <v>6.2700000000000005</v>
      </c>
    </row>
    <row r="11" spans="1:7" ht="15" x14ac:dyDescent="0.25">
      <c r="A11" s="41" t="s">
        <v>11</v>
      </c>
      <c r="B11" s="45">
        <v>7062.8492800000004</v>
      </c>
      <c r="C11" s="42">
        <v>5.7700000000000005</v>
      </c>
    </row>
    <row r="12" spans="1:7" ht="15" x14ac:dyDescent="0.25">
      <c r="A12" s="41" t="s">
        <v>13</v>
      </c>
      <c r="B12" s="45">
        <v>6866.9990399999988</v>
      </c>
      <c r="C12" s="42">
        <v>5.6099999999999994</v>
      </c>
    </row>
    <row r="13" spans="1:7" ht="15" x14ac:dyDescent="0.25">
      <c r="A13" s="41" t="s">
        <v>10</v>
      </c>
      <c r="B13" s="45">
        <v>6463.0579200000002</v>
      </c>
      <c r="C13" s="42">
        <v>5.28</v>
      </c>
    </row>
    <row r="14" spans="1:7" ht="15" x14ac:dyDescent="0.25">
      <c r="A14" s="41" t="s">
        <v>25</v>
      </c>
      <c r="B14" s="45">
        <v>6414.0953599999993</v>
      </c>
      <c r="C14" s="42">
        <v>5.24</v>
      </c>
    </row>
    <row r="15" spans="1:7" ht="15" x14ac:dyDescent="0.25">
      <c r="A15" s="41" t="s">
        <v>114</v>
      </c>
      <c r="B15" s="45">
        <v>4688.1651199999997</v>
      </c>
      <c r="C15" s="42">
        <v>3.83</v>
      </c>
    </row>
    <row r="16" spans="1:7" ht="15" x14ac:dyDescent="0.25">
      <c r="A16" s="41" t="s">
        <v>12</v>
      </c>
      <c r="B16" s="45">
        <v>4602.4806399999998</v>
      </c>
      <c r="C16" s="42">
        <v>3.7600000000000002</v>
      </c>
    </row>
    <row r="17" spans="1:3" ht="15" x14ac:dyDescent="0.25">
      <c r="A17" s="41" t="s">
        <v>210</v>
      </c>
      <c r="B17" s="45">
        <v>3941.4860799999997</v>
      </c>
      <c r="C17" s="42">
        <v>3.2199999999999998</v>
      </c>
    </row>
    <row r="18" spans="1:3" ht="15" x14ac:dyDescent="0.25">
      <c r="A18" s="43" t="s">
        <v>15</v>
      </c>
      <c r="B18" s="51">
        <f>SUM(B8:B17)</f>
        <v>66185.140480000002</v>
      </c>
      <c r="C18" s="44">
        <f>SUM(C8:C17)</f>
        <v>54.069999999999993</v>
      </c>
    </row>
    <row r="19" spans="1:3" ht="15" x14ac:dyDescent="0.25">
      <c r="A19" s="41"/>
      <c r="B19" s="45"/>
      <c r="C19" s="42"/>
    </row>
    <row r="20" spans="1:3" ht="15" x14ac:dyDescent="0.25">
      <c r="A20" s="43" t="s">
        <v>135</v>
      </c>
      <c r="B20" s="51">
        <v>2203.3151999999995</v>
      </c>
      <c r="C20" s="44">
        <v>1.7999999999999998</v>
      </c>
    </row>
    <row r="21" spans="1:3" ht="15" x14ac:dyDescent="0.25">
      <c r="A21" s="41"/>
      <c r="B21" s="45"/>
      <c r="C21" s="42"/>
    </row>
    <row r="22" spans="1:3" ht="15" x14ac:dyDescent="0.25">
      <c r="A22" s="43" t="s">
        <v>17</v>
      </c>
      <c r="B22" s="51">
        <v>54017.94432000001</v>
      </c>
      <c r="C22" s="44">
        <v>44.13000000000001</v>
      </c>
    </row>
    <row r="23" spans="1:3" ht="15" x14ac:dyDescent="0.25">
      <c r="A23" s="41"/>
      <c r="B23" s="45"/>
      <c r="C23" s="42"/>
    </row>
    <row r="24" spans="1:3" ht="15" x14ac:dyDescent="0.25">
      <c r="A24" s="48" t="s">
        <v>18</v>
      </c>
      <c r="B24" s="56">
        <f>SUM(B18,B20,B22)</f>
        <v>122406.40000000001</v>
      </c>
      <c r="C24" s="50">
        <f>SUM(C18,C20,C22)</f>
        <v>100</v>
      </c>
    </row>
  </sheetData>
  <mergeCells count="2">
    <mergeCell ref="A5:A6"/>
    <mergeCell ref="C5:C6"/>
  </mergeCells>
  <hyperlinks>
    <hyperlink ref="A1" location="Index!A1" display="Back to Links" xr:uid="{FBC17BC6-6BE8-4DF3-ACB2-09173B3B92FE}"/>
  </hyperlinks>
  <pageMargins left="0.75" right="0.75" top="1" bottom="1" header="0.5" footer="0.5"/>
  <pageSetup orientation="portrait" horizontalDpi="300" verticalDpi="300" r:id="rId1"/>
  <headerFooter alignWithMargins="0">
    <oddFooter>&amp;L&amp;"Calibri"&amp;9 &amp;K000000#Cogencis Information classification: Official_x000D_&amp;1#&amp;"Aptos"&amp;9&amp;K000000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E00A-530B-46B6-8260-227352D56D9E}">
  <sheetPr codeName="Sheet3"/>
  <dimension ref="A1:G2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41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263</v>
      </c>
      <c r="B3" s="3"/>
      <c r="C3" s="30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  <c r="E6" s="17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218</v>
      </c>
      <c r="B8" s="45">
        <v>4387.5582000000004</v>
      </c>
      <c r="C8" s="42">
        <v>3.49</v>
      </c>
    </row>
    <row r="9" spans="1:7" ht="15" x14ac:dyDescent="0.25">
      <c r="A9" s="41" t="s">
        <v>35</v>
      </c>
      <c r="B9" s="45">
        <v>3909.8298</v>
      </c>
      <c r="C9" s="42">
        <v>3.11</v>
      </c>
    </row>
    <row r="10" spans="1:7" ht="15" x14ac:dyDescent="0.25">
      <c r="A10" s="41" t="s">
        <v>147</v>
      </c>
      <c r="B10" s="45">
        <v>3608.1066000000005</v>
      </c>
      <c r="C10" s="42">
        <v>2.87</v>
      </c>
    </row>
    <row r="11" spans="1:7" ht="15" x14ac:dyDescent="0.25">
      <c r="A11" s="41" t="s">
        <v>20</v>
      </c>
      <c r="B11" s="45">
        <v>3557.8193999999999</v>
      </c>
      <c r="C11" s="42">
        <v>2.83</v>
      </c>
    </row>
    <row r="12" spans="1:7" ht="15" x14ac:dyDescent="0.25">
      <c r="A12" s="41" t="s">
        <v>136</v>
      </c>
      <c r="B12" s="45">
        <v>3419.5295999999998</v>
      </c>
      <c r="C12" s="42">
        <v>2.7199999999999998</v>
      </c>
    </row>
    <row r="13" spans="1:7" ht="15" x14ac:dyDescent="0.25">
      <c r="A13" s="41" t="s">
        <v>102</v>
      </c>
      <c r="B13" s="45">
        <v>3105.2345999999998</v>
      </c>
      <c r="C13" s="42">
        <v>2.4699999999999998</v>
      </c>
    </row>
    <row r="14" spans="1:7" ht="15" x14ac:dyDescent="0.25">
      <c r="A14" s="41" t="s">
        <v>242</v>
      </c>
      <c r="B14" s="45">
        <v>2966.9447999999998</v>
      </c>
      <c r="C14" s="42">
        <v>2.36</v>
      </c>
    </row>
    <row r="15" spans="1:7" ht="15" x14ac:dyDescent="0.25">
      <c r="A15" s="41" t="s">
        <v>262</v>
      </c>
      <c r="B15" s="45">
        <v>2828.6550000000002</v>
      </c>
      <c r="C15" s="42">
        <v>2.25</v>
      </c>
    </row>
    <row r="16" spans="1:7" ht="15" x14ac:dyDescent="0.25">
      <c r="A16" s="41" t="s">
        <v>31</v>
      </c>
      <c r="B16" s="45">
        <v>2640.078</v>
      </c>
      <c r="C16" s="42">
        <v>2.1</v>
      </c>
    </row>
    <row r="17" spans="1:3" ht="15" x14ac:dyDescent="0.25">
      <c r="A17" s="41" t="s">
        <v>249</v>
      </c>
      <c r="B17" s="45">
        <v>2552.0753999999997</v>
      </c>
      <c r="C17" s="42">
        <v>2.0299999999999998</v>
      </c>
    </row>
    <row r="18" spans="1:3" ht="15" x14ac:dyDescent="0.25">
      <c r="A18" s="43" t="s">
        <v>15</v>
      </c>
      <c r="B18" s="51">
        <f>SUM(B8:B17)</f>
        <v>32975.831400000003</v>
      </c>
      <c r="C18" s="44">
        <f>SUM(C8:C17)</f>
        <v>26.23</v>
      </c>
    </row>
    <row r="19" spans="1:3" ht="15" x14ac:dyDescent="0.25">
      <c r="A19" s="41"/>
      <c r="B19" s="45"/>
      <c r="C19" s="42"/>
    </row>
    <row r="20" spans="1:3" ht="15" x14ac:dyDescent="0.25">
      <c r="A20" s="43" t="s">
        <v>135</v>
      </c>
      <c r="B20" s="51">
        <v>9013.980599999999</v>
      </c>
      <c r="C20" s="44">
        <v>7.17</v>
      </c>
    </row>
    <row r="21" spans="1:3" ht="15" x14ac:dyDescent="0.25">
      <c r="A21" s="41"/>
      <c r="B21" s="45"/>
      <c r="C21" s="42"/>
    </row>
    <row r="22" spans="1:3" ht="15" x14ac:dyDescent="0.25">
      <c r="A22" s="43" t="s">
        <v>17</v>
      </c>
      <c r="B22" s="51">
        <v>83728.187999999995</v>
      </c>
      <c r="C22" s="44">
        <v>66.599999999999994</v>
      </c>
    </row>
    <row r="23" spans="1:3" ht="15" x14ac:dyDescent="0.25">
      <c r="A23" s="41"/>
      <c r="B23" s="45"/>
      <c r="C23" s="42"/>
    </row>
    <row r="24" spans="1:3" ht="15" x14ac:dyDescent="0.25">
      <c r="A24" s="48" t="s">
        <v>18</v>
      </c>
      <c r="B24" s="56">
        <f>SUM(B18,B20,B22)</f>
        <v>125718</v>
      </c>
      <c r="C24" s="50">
        <f>SUM(C18,C20,C22)</f>
        <v>100</v>
      </c>
    </row>
  </sheetData>
  <mergeCells count="2">
    <mergeCell ref="A5:A6"/>
    <mergeCell ref="C5:C6"/>
  </mergeCells>
  <hyperlinks>
    <hyperlink ref="A1" location="Index!A1" display="Back to Links" xr:uid="{5A834522-AA00-41AE-BD9C-BC1EB0F3B4D6}"/>
  </hyperlinks>
  <pageMargins left="0.75" right="0.75" top="1" bottom="1" header="0.5" footer="0.5"/>
  <pageSetup orientation="portrait" verticalDpi="300"/>
  <headerFooter alignWithMargins="0">
    <oddFooter>&amp;L&amp;"Calibri"&amp;9 &amp;K000000#Cogencis Information classification: Official_x000D_&amp;1#&amp;"Aptos"&amp;9&amp;K000000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B590-337E-4866-A3A4-F50BF16A4C0F}">
  <sheetPr codeName="Sheet4"/>
  <dimension ref="A1:G50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76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268</v>
      </c>
      <c r="B3" s="30"/>
      <c r="C3" s="30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thickBot="1" x14ac:dyDescent="0.3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</row>
    <row r="7" spans="1:7" ht="13.5" customHeight="1" thickTop="1" thickBot="1" x14ac:dyDescent="0.3">
      <c r="A7" s="43" t="s">
        <v>19</v>
      </c>
      <c r="B7" s="45"/>
      <c r="C7" s="42"/>
    </row>
    <row r="8" spans="1:7" ht="15" x14ac:dyDescent="0.25">
      <c r="A8" s="41" t="s">
        <v>7</v>
      </c>
      <c r="B8" s="45">
        <v>3772.8184999999999</v>
      </c>
      <c r="C8" s="42">
        <v>5.5</v>
      </c>
    </row>
    <row r="9" spans="1:7" ht="15" x14ac:dyDescent="0.25">
      <c r="A9" s="41" t="s">
        <v>8</v>
      </c>
      <c r="B9" s="45">
        <v>3567.0284000000001</v>
      </c>
      <c r="C9" s="42">
        <v>5.2</v>
      </c>
    </row>
    <row r="10" spans="1:7" ht="15" x14ac:dyDescent="0.25">
      <c r="A10" s="41" t="s">
        <v>9</v>
      </c>
      <c r="B10" s="45">
        <v>2297.98945</v>
      </c>
      <c r="C10" s="42">
        <v>3.35</v>
      </c>
    </row>
    <row r="11" spans="1:7" ht="15" x14ac:dyDescent="0.25">
      <c r="A11" s="41" t="s">
        <v>10</v>
      </c>
      <c r="B11" s="45">
        <v>1975.5849599999999</v>
      </c>
      <c r="C11" s="42">
        <v>2.88</v>
      </c>
    </row>
    <row r="12" spans="1:7" ht="15" x14ac:dyDescent="0.25">
      <c r="A12" s="41" t="s">
        <v>13</v>
      </c>
      <c r="B12" s="45">
        <v>1886.4092499999999</v>
      </c>
      <c r="C12" s="42">
        <v>2.75</v>
      </c>
    </row>
    <row r="13" spans="1:7" ht="15" x14ac:dyDescent="0.25">
      <c r="A13" s="41" t="s">
        <v>11</v>
      </c>
      <c r="B13" s="45">
        <v>1680.61915</v>
      </c>
      <c r="C13" s="42">
        <v>2.4500000000000002</v>
      </c>
    </row>
    <row r="14" spans="1:7" ht="15" x14ac:dyDescent="0.25">
      <c r="A14" s="41" t="s">
        <v>25</v>
      </c>
      <c r="B14" s="45">
        <v>1481.6887200000001</v>
      </c>
      <c r="C14" s="42">
        <v>2.16</v>
      </c>
    </row>
    <row r="15" spans="1:7" ht="15" x14ac:dyDescent="0.25">
      <c r="A15" s="41" t="s">
        <v>12</v>
      </c>
      <c r="B15" s="45">
        <v>1262.1792799999998</v>
      </c>
      <c r="C15" s="42">
        <v>1.8399999999999999</v>
      </c>
    </row>
    <row r="16" spans="1:7" ht="15" x14ac:dyDescent="0.25">
      <c r="A16" s="41" t="s">
        <v>92</v>
      </c>
      <c r="B16" s="45">
        <v>1241.6002699999999</v>
      </c>
      <c r="C16" s="42">
        <v>1.81</v>
      </c>
    </row>
    <row r="17" spans="1:3" ht="15" x14ac:dyDescent="0.25">
      <c r="A17" s="41" t="s">
        <v>210</v>
      </c>
      <c r="B17" s="45">
        <v>1022.09083</v>
      </c>
      <c r="C17" s="42">
        <v>1.49</v>
      </c>
    </row>
    <row r="18" spans="1:3" ht="15" x14ac:dyDescent="0.25">
      <c r="A18" s="43" t="s">
        <v>15</v>
      </c>
      <c r="B18" s="51">
        <f>SUM(B8:B17)</f>
        <v>20188.008810000003</v>
      </c>
      <c r="C18" s="44">
        <f>SUM(C8:C17)</f>
        <v>29.429999999999996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137</v>
      </c>
      <c r="B20" s="45"/>
      <c r="C20" s="42"/>
    </row>
    <row r="21" spans="1:3" ht="15" x14ac:dyDescent="0.25">
      <c r="A21" s="55" t="s">
        <v>244</v>
      </c>
      <c r="B21" s="45">
        <v>5419.1393000000007</v>
      </c>
      <c r="C21" s="42">
        <v>7.9</v>
      </c>
    </row>
    <row r="22" spans="1:3" ht="15" x14ac:dyDescent="0.25">
      <c r="A22" s="55" t="s">
        <v>160</v>
      </c>
      <c r="B22" s="45">
        <v>2414.6038399999998</v>
      </c>
      <c r="C22" s="42">
        <v>3.52</v>
      </c>
    </row>
    <row r="23" spans="1:3" ht="15" x14ac:dyDescent="0.25">
      <c r="A23" s="55" t="s">
        <v>149</v>
      </c>
      <c r="B23" s="45">
        <v>1865.8302399999998</v>
      </c>
      <c r="C23" s="42">
        <v>2.7199999999999998</v>
      </c>
    </row>
    <row r="24" spans="1:3" ht="15" x14ac:dyDescent="0.25">
      <c r="A24" s="55" t="s">
        <v>264</v>
      </c>
      <c r="B24" s="45">
        <v>1605.1627799999999</v>
      </c>
      <c r="C24" s="42">
        <v>2.34</v>
      </c>
    </row>
    <row r="25" spans="1:3" ht="15" x14ac:dyDescent="0.25">
      <c r="A25" s="55" t="s">
        <v>148</v>
      </c>
      <c r="B25" s="45">
        <v>1406.2323500000002</v>
      </c>
      <c r="C25" s="42">
        <v>2.0500000000000003</v>
      </c>
    </row>
    <row r="26" spans="1:3" ht="15" x14ac:dyDescent="0.25">
      <c r="A26" s="55" t="s">
        <v>22</v>
      </c>
      <c r="B26" s="45">
        <v>583.07195000000002</v>
      </c>
      <c r="C26" s="42">
        <v>0.85000000000000009</v>
      </c>
    </row>
    <row r="27" spans="1:3" ht="15" x14ac:dyDescent="0.25">
      <c r="A27" s="55" t="s">
        <v>265</v>
      </c>
      <c r="B27" s="45">
        <v>507.61557999999997</v>
      </c>
      <c r="C27" s="42">
        <v>0.74</v>
      </c>
    </row>
    <row r="28" spans="1:3" ht="15" x14ac:dyDescent="0.25">
      <c r="A28" s="55" t="s">
        <v>245</v>
      </c>
      <c r="B28" s="45">
        <v>493.89623999999998</v>
      </c>
      <c r="C28" s="42">
        <v>0.72</v>
      </c>
    </row>
    <row r="29" spans="1:3" ht="15" x14ac:dyDescent="0.25">
      <c r="A29" s="55" t="s">
        <v>266</v>
      </c>
      <c r="B29" s="45">
        <v>459.59789000000006</v>
      </c>
      <c r="C29" s="42">
        <v>0.67</v>
      </c>
    </row>
    <row r="30" spans="1:3" ht="15" x14ac:dyDescent="0.25">
      <c r="A30" s="55" t="s">
        <v>111</v>
      </c>
      <c r="B30" s="45">
        <v>260.66746000000001</v>
      </c>
      <c r="C30" s="42">
        <v>0.38</v>
      </c>
    </row>
    <row r="31" spans="1:3" ht="15" x14ac:dyDescent="0.25">
      <c r="A31" s="43" t="s">
        <v>15</v>
      </c>
      <c r="B31" s="51">
        <f>SUM(B21:B30)</f>
        <v>15015.817630000001</v>
      </c>
      <c r="C31" s="44">
        <f>SUM(C21:C30)</f>
        <v>21.89</v>
      </c>
    </row>
    <row r="32" spans="1:3" ht="15" x14ac:dyDescent="0.25">
      <c r="A32" s="41"/>
      <c r="B32" s="45"/>
      <c r="C32" s="42"/>
    </row>
    <row r="33" spans="1:3" ht="15" x14ac:dyDescent="0.25">
      <c r="A33" s="43" t="s">
        <v>138</v>
      </c>
      <c r="B33" s="45"/>
      <c r="C33" s="42"/>
    </row>
    <row r="34" spans="1:3" ht="15" x14ac:dyDescent="0.25">
      <c r="A34" s="55" t="s">
        <v>151</v>
      </c>
      <c r="B34" s="45">
        <v>2400.8845000000001</v>
      </c>
      <c r="C34" s="42">
        <v>3.5000000000000004</v>
      </c>
    </row>
    <row r="35" spans="1:3" ht="15" x14ac:dyDescent="0.25">
      <c r="A35" s="55" t="s">
        <v>220</v>
      </c>
      <c r="B35" s="45">
        <v>1872.6899099999998</v>
      </c>
      <c r="C35" s="42">
        <v>2.73</v>
      </c>
    </row>
    <row r="36" spans="1:3" ht="15" x14ac:dyDescent="0.25">
      <c r="A36" s="55" t="s">
        <v>246</v>
      </c>
      <c r="B36" s="45">
        <v>1351.3549899999998</v>
      </c>
      <c r="C36" s="42">
        <v>1.97</v>
      </c>
    </row>
    <row r="37" spans="1:3" ht="15" x14ac:dyDescent="0.25">
      <c r="A37" s="55" t="s">
        <v>267</v>
      </c>
      <c r="B37" s="45">
        <v>747.7040300000001</v>
      </c>
      <c r="C37" s="42">
        <v>1.0900000000000001</v>
      </c>
    </row>
    <row r="38" spans="1:3" ht="15" x14ac:dyDescent="0.25">
      <c r="A38" s="55" t="s">
        <v>152</v>
      </c>
      <c r="B38" s="45">
        <v>720.26535000000001</v>
      </c>
      <c r="C38" s="42">
        <v>1.05</v>
      </c>
    </row>
    <row r="39" spans="1:3" ht="15" x14ac:dyDescent="0.25">
      <c r="A39" s="55" t="s">
        <v>247</v>
      </c>
      <c r="B39" s="45">
        <v>665.38798999999995</v>
      </c>
      <c r="C39" s="42">
        <v>0.97</v>
      </c>
    </row>
    <row r="40" spans="1:3" ht="15" x14ac:dyDescent="0.25">
      <c r="A40" s="55" t="s">
        <v>222</v>
      </c>
      <c r="B40" s="45">
        <v>541.91393000000005</v>
      </c>
      <c r="C40" s="42">
        <v>0.79</v>
      </c>
    </row>
    <row r="41" spans="1:3" ht="15" x14ac:dyDescent="0.25">
      <c r="A41" s="55" t="s">
        <v>139</v>
      </c>
      <c r="B41" s="45">
        <v>500.75590999999991</v>
      </c>
      <c r="C41" s="42">
        <v>0.73</v>
      </c>
    </row>
    <row r="42" spans="1:3" ht="15" x14ac:dyDescent="0.25">
      <c r="A42" s="41" t="s">
        <v>153</v>
      </c>
      <c r="B42" s="45">
        <v>432.15921000000003</v>
      </c>
      <c r="C42" s="42">
        <v>0.63</v>
      </c>
    </row>
    <row r="43" spans="1:3" ht="15" x14ac:dyDescent="0.25">
      <c r="A43" s="41" t="s">
        <v>154</v>
      </c>
      <c r="B43" s="45">
        <v>391.00119000000007</v>
      </c>
      <c r="C43" s="42">
        <v>0.57000000000000006</v>
      </c>
    </row>
    <row r="44" spans="1:3" ht="15" x14ac:dyDescent="0.25">
      <c r="A44" s="43" t="s">
        <v>15</v>
      </c>
      <c r="B44" s="51">
        <f>SUM(B34:B43)</f>
        <v>9624.1170099999999</v>
      </c>
      <c r="C44" s="44">
        <f>SUM(C34:C43)</f>
        <v>14.030000000000003</v>
      </c>
    </row>
    <row r="45" spans="1:3" ht="15" x14ac:dyDescent="0.25">
      <c r="A45" s="41"/>
      <c r="B45" s="45"/>
      <c r="C45" s="42"/>
    </row>
    <row r="46" spans="1:3" ht="15" x14ac:dyDescent="0.25">
      <c r="A46" s="43" t="s">
        <v>16</v>
      </c>
      <c r="B46" s="51">
        <v>1900.12859</v>
      </c>
      <c r="C46" s="44">
        <v>2.77</v>
      </c>
    </row>
    <row r="47" spans="1:3" ht="15" x14ac:dyDescent="0.25">
      <c r="A47" s="41"/>
      <c r="B47" s="45"/>
      <c r="C47" s="42"/>
    </row>
    <row r="48" spans="1:3" ht="15" x14ac:dyDescent="0.25">
      <c r="A48" s="43" t="s">
        <v>17</v>
      </c>
      <c r="B48" s="51">
        <v>21868.627960000016</v>
      </c>
      <c r="C48" s="44">
        <v>31.880000000000024</v>
      </c>
    </row>
    <row r="49" spans="1:3" ht="15" x14ac:dyDescent="0.25">
      <c r="A49" s="41"/>
      <c r="B49" s="45"/>
      <c r="C49" s="42"/>
    </row>
    <row r="50" spans="1:3" ht="15" x14ac:dyDescent="0.25">
      <c r="A50" s="48" t="s">
        <v>18</v>
      </c>
      <c r="B50" s="56">
        <f>SUM(B18,B31,B44,B46,B48)</f>
        <v>68596.700000000026</v>
      </c>
      <c r="C50" s="50">
        <f>SUM(C18,C31,C44,C46,C48)</f>
        <v>100.00000000000001</v>
      </c>
    </row>
  </sheetData>
  <mergeCells count="2">
    <mergeCell ref="A5:A6"/>
    <mergeCell ref="C5:C6"/>
  </mergeCells>
  <hyperlinks>
    <hyperlink ref="A1" location="Index!A1" display="Back to Links" xr:uid="{7C157A4F-285A-458E-96F7-0C921F5C214C}"/>
  </hyperlinks>
  <pageMargins left="0.75" right="0.75" top="1" bottom="1" header="0.5" footer="0.5"/>
  <pageSetup orientation="portrait" horizontalDpi="1200" verticalDpi="1200" r:id="rId1"/>
  <headerFooter alignWithMargins="0">
    <oddFooter>&amp;L&amp;"Calibri"&amp;9 &amp;K000000#Cogencis Information classification: Official_x000D_&amp;1#&amp;"Aptos"&amp;9&amp;K000000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C307-DC1D-4796-8D58-80DB5E504047}">
  <sheetPr codeName="Sheet7"/>
  <dimension ref="A1:G50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77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271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  <c r="E5" s="17"/>
    </row>
    <row r="6" spans="1:7" ht="16.5" customHeight="1" thickTop="1" thickBot="1" x14ac:dyDescent="0.25">
      <c r="A6" s="64"/>
      <c r="B6" s="10" t="s">
        <v>6</v>
      </c>
      <c r="C6" s="66"/>
      <c r="E6" s="23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7</v>
      </c>
      <c r="B8" s="45">
        <v>707.72490000000005</v>
      </c>
      <c r="C8" s="42">
        <v>3.3300000000000005</v>
      </c>
    </row>
    <row r="9" spans="1:7" ht="15" x14ac:dyDescent="0.25">
      <c r="A9" s="41" t="s">
        <v>8</v>
      </c>
      <c r="B9" s="45">
        <v>646.09120000000007</v>
      </c>
      <c r="C9" s="42">
        <v>3.04</v>
      </c>
    </row>
    <row r="10" spans="1:7" ht="15" x14ac:dyDescent="0.25">
      <c r="A10" s="41" t="s">
        <v>9</v>
      </c>
      <c r="B10" s="45">
        <v>359.17570000000001</v>
      </c>
      <c r="C10" s="42">
        <v>1.69</v>
      </c>
    </row>
    <row r="11" spans="1:7" ht="15" x14ac:dyDescent="0.25">
      <c r="A11" s="41" t="s">
        <v>10</v>
      </c>
      <c r="B11" s="45">
        <v>335.79739999999998</v>
      </c>
      <c r="C11" s="42">
        <v>1.58</v>
      </c>
    </row>
    <row r="12" spans="1:7" ht="15" x14ac:dyDescent="0.25">
      <c r="A12" s="41" t="s">
        <v>13</v>
      </c>
      <c r="B12" s="45">
        <v>323.04560000000004</v>
      </c>
      <c r="C12" s="42">
        <v>1.52</v>
      </c>
    </row>
    <row r="13" spans="1:7" ht="15" x14ac:dyDescent="0.25">
      <c r="A13" s="41" t="s">
        <v>11</v>
      </c>
      <c r="B13" s="45">
        <v>308.16849999999999</v>
      </c>
      <c r="C13" s="42">
        <v>1.4500000000000002</v>
      </c>
    </row>
    <row r="14" spans="1:7" ht="15" x14ac:dyDescent="0.25">
      <c r="A14" s="41" t="s">
        <v>92</v>
      </c>
      <c r="B14" s="45">
        <v>303.91789999999997</v>
      </c>
      <c r="C14" s="42">
        <v>1.43</v>
      </c>
    </row>
    <row r="15" spans="1:7" ht="15" x14ac:dyDescent="0.25">
      <c r="A15" s="41" t="s">
        <v>25</v>
      </c>
      <c r="B15" s="45">
        <v>291.16610000000003</v>
      </c>
      <c r="C15" s="42">
        <v>1.37</v>
      </c>
    </row>
    <row r="16" spans="1:7" ht="15" x14ac:dyDescent="0.25">
      <c r="A16" s="41" t="s">
        <v>12</v>
      </c>
      <c r="B16" s="45">
        <v>244.40949999999998</v>
      </c>
      <c r="C16" s="42">
        <v>1.1499999999999999</v>
      </c>
    </row>
    <row r="17" spans="1:3" ht="15" x14ac:dyDescent="0.25">
      <c r="A17" s="41" t="s">
        <v>210</v>
      </c>
      <c r="B17" s="45">
        <v>206.1541</v>
      </c>
      <c r="C17" s="42">
        <v>0.97</v>
      </c>
    </row>
    <row r="18" spans="1:3" ht="15" x14ac:dyDescent="0.25">
      <c r="A18" s="43" t="s">
        <v>15</v>
      </c>
      <c r="B18" s="51">
        <f>SUM(B8:B17)</f>
        <v>3725.6509000000001</v>
      </c>
      <c r="C18" s="44">
        <f>SUM(C8:C17)</f>
        <v>17.529999999999998</v>
      </c>
    </row>
    <row r="19" spans="1:3" ht="15" x14ac:dyDescent="0.25">
      <c r="A19" s="41"/>
      <c r="B19" s="45"/>
      <c r="C19" s="42"/>
    </row>
    <row r="20" spans="1:3" ht="15" x14ac:dyDescent="0.25">
      <c r="A20" s="43" t="s">
        <v>137</v>
      </c>
      <c r="B20" s="45"/>
      <c r="C20" s="42"/>
    </row>
    <row r="21" spans="1:3" ht="15" x14ac:dyDescent="0.25">
      <c r="A21" s="55" t="s">
        <v>244</v>
      </c>
      <c r="B21" s="45">
        <v>3442.9859999999999</v>
      </c>
      <c r="C21" s="42">
        <v>16.2</v>
      </c>
    </row>
    <row r="22" spans="1:3" ht="15" x14ac:dyDescent="0.25">
      <c r="A22" s="55" t="s">
        <v>148</v>
      </c>
      <c r="B22" s="45">
        <v>1003.1415999999999</v>
      </c>
      <c r="C22" s="42">
        <v>4.72</v>
      </c>
    </row>
    <row r="23" spans="1:3" ht="15" x14ac:dyDescent="0.25">
      <c r="A23" s="55" t="s">
        <v>269</v>
      </c>
      <c r="B23" s="45">
        <v>454.81419999999991</v>
      </c>
      <c r="C23" s="42">
        <v>2.1399999999999997</v>
      </c>
    </row>
    <row r="24" spans="1:3" ht="15" x14ac:dyDescent="0.25">
      <c r="A24" s="55" t="s">
        <v>245</v>
      </c>
      <c r="B24" s="45">
        <v>446.31300000000005</v>
      </c>
      <c r="C24" s="42">
        <v>2.1</v>
      </c>
    </row>
    <row r="25" spans="1:3" ht="15" x14ac:dyDescent="0.25">
      <c r="A25" s="55" t="s">
        <v>264</v>
      </c>
      <c r="B25" s="45">
        <v>408.05760000000004</v>
      </c>
      <c r="C25" s="42">
        <v>1.92</v>
      </c>
    </row>
    <row r="26" spans="1:3" ht="15" x14ac:dyDescent="0.25">
      <c r="A26" s="55" t="s">
        <v>159</v>
      </c>
      <c r="B26" s="45">
        <v>248.66009999999997</v>
      </c>
      <c r="C26" s="42">
        <v>1.17</v>
      </c>
    </row>
    <row r="27" spans="1:3" ht="15" x14ac:dyDescent="0.25">
      <c r="A27" s="55" t="s">
        <v>150</v>
      </c>
      <c r="B27" s="45">
        <v>246.53479999999999</v>
      </c>
      <c r="C27" s="42">
        <v>1.1599999999999999</v>
      </c>
    </row>
    <row r="28" spans="1:3" ht="15" x14ac:dyDescent="0.25">
      <c r="A28" s="55" t="s">
        <v>111</v>
      </c>
      <c r="B28" s="45">
        <v>95.638499999999979</v>
      </c>
      <c r="C28" s="42">
        <v>0.44999999999999996</v>
      </c>
    </row>
    <row r="29" spans="1:3" ht="15" x14ac:dyDescent="0.25">
      <c r="A29" s="41" t="s">
        <v>149</v>
      </c>
      <c r="B29" s="45">
        <v>85.012</v>
      </c>
      <c r="C29" s="42">
        <v>0.4</v>
      </c>
    </row>
    <row r="30" spans="1:3" ht="15" x14ac:dyDescent="0.25">
      <c r="A30" s="55" t="s">
        <v>97</v>
      </c>
      <c r="B30" s="45">
        <v>78.636099999999999</v>
      </c>
      <c r="C30" s="42">
        <v>0.37</v>
      </c>
    </row>
    <row r="31" spans="1:3" ht="15" x14ac:dyDescent="0.25">
      <c r="A31" s="43" t="s">
        <v>15</v>
      </c>
      <c r="B31" s="51">
        <f>SUM(B21:B30)</f>
        <v>6509.7938999999997</v>
      </c>
      <c r="C31" s="44">
        <f>SUM(C21:C30)</f>
        <v>30.63</v>
      </c>
    </row>
    <row r="32" spans="1:3" ht="15" x14ac:dyDescent="0.25">
      <c r="A32" s="41"/>
      <c r="B32" s="45"/>
      <c r="C32" s="42"/>
    </row>
    <row r="33" spans="1:3" ht="15" x14ac:dyDescent="0.25">
      <c r="A33" s="43" t="s">
        <v>138</v>
      </c>
      <c r="B33" s="45"/>
      <c r="C33" s="42"/>
    </row>
    <row r="34" spans="1:3" ht="15" x14ac:dyDescent="0.25">
      <c r="A34" s="55" t="s">
        <v>151</v>
      </c>
      <c r="B34" s="45">
        <v>813.98990000000003</v>
      </c>
      <c r="C34" s="42">
        <v>3.83</v>
      </c>
    </row>
    <row r="35" spans="1:3" ht="15" x14ac:dyDescent="0.25">
      <c r="A35" s="55" t="s">
        <v>221</v>
      </c>
      <c r="B35" s="45">
        <v>635.46469999999999</v>
      </c>
      <c r="C35" s="42">
        <v>2.9899999999999998</v>
      </c>
    </row>
    <row r="36" spans="1:3" ht="15" x14ac:dyDescent="0.25">
      <c r="A36" s="55" t="s">
        <v>246</v>
      </c>
      <c r="B36" s="45">
        <v>490.9443</v>
      </c>
      <c r="C36" s="42">
        <v>2.31</v>
      </c>
    </row>
    <row r="37" spans="1:3" ht="15" x14ac:dyDescent="0.25">
      <c r="A37" s="55" t="s">
        <v>220</v>
      </c>
      <c r="B37" s="45">
        <v>488.81899999999996</v>
      </c>
      <c r="C37" s="42">
        <v>2.2999999999999998</v>
      </c>
    </row>
    <row r="38" spans="1:3" ht="15" x14ac:dyDescent="0.25">
      <c r="A38" s="55" t="s">
        <v>161</v>
      </c>
      <c r="B38" s="45">
        <v>408.05760000000004</v>
      </c>
      <c r="C38" s="42">
        <v>1.92</v>
      </c>
    </row>
    <row r="39" spans="1:3" ht="15" x14ac:dyDescent="0.25">
      <c r="A39" s="55" t="s">
        <v>139</v>
      </c>
      <c r="B39" s="45">
        <v>348.54920000000004</v>
      </c>
      <c r="C39" s="42">
        <v>1.6400000000000001</v>
      </c>
    </row>
    <row r="40" spans="1:3" ht="15" x14ac:dyDescent="0.25">
      <c r="A40" s="55" t="s">
        <v>156</v>
      </c>
      <c r="B40" s="45">
        <v>331.54679999999991</v>
      </c>
      <c r="C40" s="42">
        <v>1.5599999999999998</v>
      </c>
    </row>
    <row r="41" spans="1:3" ht="15" x14ac:dyDescent="0.25">
      <c r="A41" s="41" t="s">
        <v>222</v>
      </c>
      <c r="B41" s="45">
        <v>252.91070000000002</v>
      </c>
      <c r="C41" s="42">
        <v>1.1900000000000002</v>
      </c>
    </row>
    <row r="42" spans="1:3" ht="15" x14ac:dyDescent="0.25">
      <c r="A42" s="41" t="s">
        <v>267</v>
      </c>
      <c r="B42" s="45">
        <v>248.66009999999997</v>
      </c>
      <c r="C42" s="42">
        <v>1.17</v>
      </c>
    </row>
    <row r="43" spans="1:3" ht="15" x14ac:dyDescent="0.25">
      <c r="A43" s="41" t="s">
        <v>270</v>
      </c>
      <c r="B43" s="45">
        <v>248.66009999999997</v>
      </c>
      <c r="C43" s="42">
        <v>1.17</v>
      </c>
    </row>
    <row r="44" spans="1:3" ht="15" x14ac:dyDescent="0.25">
      <c r="A44" s="43" t="s">
        <v>15</v>
      </c>
      <c r="B44" s="51">
        <f>SUM(B34:B43)</f>
        <v>4267.6023999999998</v>
      </c>
      <c r="C44" s="44">
        <f>SUM(C34:C43)</f>
        <v>20.080000000000005</v>
      </c>
    </row>
    <row r="45" spans="1:3" ht="15" x14ac:dyDescent="0.25">
      <c r="A45" s="41"/>
      <c r="B45" s="45"/>
      <c r="C45" s="42"/>
    </row>
    <row r="46" spans="1:3" ht="15" x14ac:dyDescent="0.25">
      <c r="A46" s="43" t="s">
        <v>16</v>
      </c>
      <c r="B46" s="51">
        <v>907.50310000000013</v>
      </c>
      <c r="C46" s="44">
        <v>4.2700000000000005</v>
      </c>
    </row>
    <row r="47" spans="1:3" ht="15" x14ac:dyDescent="0.25">
      <c r="A47" s="41"/>
      <c r="B47" s="45"/>
      <c r="C47" s="42"/>
    </row>
    <row r="48" spans="1:3" ht="15" x14ac:dyDescent="0.25">
      <c r="A48" s="43" t="s">
        <v>17</v>
      </c>
      <c r="B48" s="51">
        <v>5842.4497000000019</v>
      </c>
      <c r="C48" s="44">
        <v>27.490000000000009</v>
      </c>
    </row>
    <row r="49" spans="1:3" ht="15" x14ac:dyDescent="0.25">
      <c r="A49" s="41"/>
      <c r="B49" s="45"/>
      <c r="C49" s="42"/>
    </row>
    <row r="50" spans="1:3" ht="15" x14ac:dyDescent="0.25">
      <c r="A50" s="48" t="s">
        <v>18</v>
      </c>
      <c r="B50" s="56">
        <f>SUM(B18,B31,B44,B46,B48)</f>
        <v>21253</v>
      </c>
      <c r="C50" s="50">
        <f>SUM(C18,C31,C44,C46,C48)</f>
        <v>100.00000000000001</v>
      </c>
    </row>
  </sheetData>
  <mergeCells count="2">
    <mergeCell ref="A5:A6"/>
    <mergeCell ref="C5:C6"/>
  </mergeCells>
  <hyperlinks>
    <hyperlink ref="A1" location="Index!A1" display="Back to Links" xr:uid="{E940FF13-1A9E-470A-AA17-843C1C138EE0}"/>
  </hyperlinks>
  <pageMargins left="0.75" right="0.75" top="1" bottom="1" header="0.5" footer="0.5"/>
  <pageSetup paperSize="9" orientation="portrait"/>
  <headerFooter alignWithMargins="0">
    <oddFooter>&amp;L&amp;"Calibri"&amp;9 &amp;K000000#Cogencis Information classification: Official_x000D_&amp;1#&amp;"Aptos"&amp;9&amp;K000000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BCD3-35F3-4022-869B-0C71A2CF371B}">
  <sheetPr codeName="Sheet5"/>
  <dimension ref="A1:G50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78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272</v>
      </c>
      <c r="B3" s="3"/>
      <c r="C3" s="3"/>
      <c r="D3" s="1"/>
      <c r="E3" s="1"/>
      <c r="F3" s="1"/>
      <c r="G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  <c r="E5" s="26"/>
    </row>
    <row r="6" spans="1:7" ht="16.5" customHeight="1" thickTop="1" thickBot="1" x14ac:dyDescent="0.25">
      <c r="A6" s="64"/>
      <c r="B6" s="10" t="s">
        <v>6</v>
      </c>
      <c r="C6" s="66"/>
      <c r="E6" s="23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7</v>
      </c>
      <c r="B8" s="45">
        <v>20.651140000000005</v>
      </c>
      <c r="C8" s="42">
        <v>1.0900000000000001</v>
      </c>
    </row>
    <row r="9" spans="1:7" ht="15" x14ac:dyDescent="0.25">
      <c r="A9" s="41" t="s">
        <v>8</v>
      </c>
      <c r="B9" s="45">
        <v>17.809240000000003</v>
      </c>
      <c r="C9" s="42">
        <v>0.94000000000000006</v>
      </c>
    </row>
    <row r="10" spans="1:7" ht="15" x14ac:dyDescent="0.25">
      <c r="A10" s="41" t="s">
        <v>9</v>
      </c>
      <c r="B10" s="45">
        <v>11.367599999999999</v>
      </c>
      <c r="C10" s="42">
        <v>0.6</v>
      </c>
    </row>
    <row r="11" spans="1:7" ht="15" x14ac:dyDescent="0.25">
      <c r="A11" s="41" t="s">
        <v>13</v>
      </c>
      <c r="B11" s="45">
        <v>10.988679999999999</v>
      </c>
      <c r="C11" s="42">
        <v>0.57999999999999996</v>
      </c>
    </row>
    <row r="12" spans="1:7" ht="15" x14ac:dyDescent="0.25">
      <c r="A12" s="41" t="s">
        <v>24</v>
      </c>
      <c r="B12" s="45">
        <v>9.4730000000000008</v>
      </c>
      <c r="C12" s="42">
        <v>0.5</v>
      </c>
    </row>
    <row r="13" spans="1:7" ht="15" x14ac:dyDescent="0.25">
      <c r="A13" s="41" t="s">
        <v>11</v>
      </c>
      <c r="B13" s="45">
        <v>8.7151599999999991</v>
      </c>
      <c r="C13" s="42">
        <v>0.45999999999999996</v>
      </c>
    </row>
    <row r="14" spans="1:7" ht="15" x14ac:dyDescent="0.25">
      <c r="A14" s="41" t="s">
        <v>10</v>
      </c>
      <c r="B14" s="45">
        <v>8.5256999999999987</v>
      </c>
      <c r="C14" s="42">
        <v>0.44999999999999996</v>
      </c>
    </row>
    <row r="15" spans="1:7" ht="15" x14ac:dyDescent="0.25">
      <c r="A15" s="41" t="s">
        <v>29</v>
      </c>
      <c r="B15" s="45">
        <v>7.7678600000000007</v>
      </c>
      <c r="C15" s="42">
        <v>0.41000000000000003</v>
      </c>
    </row>
    <row r="16" spans="1:7" ht="15" x14ac:dyDescent="0.25">
      <c r="A16" s="41" t="s">
        <v>92</v>
      </c>
      <c r="B16" s="45">
        <v>7.7678600000000007</v>
      </c>
      <c r="C16" s="42">
        <v>0.41000000000000003</v>
      </c>
    </row>
    <row r="17" spans="1:3" ht="15" x14ac:dyDescent="0.25">
      <c r="A17" s="41" t="s">
        <v>12</v>
      </c>
      <c r="B17" s="45">
        <v>6.4416399999999996</v>
      </c>
      <c r="C17" s="42">
        <v>0.33999999999999997</v>
      </c>
    </row>
    <row r="18" spans="1:3" ht="15" x14ac:dyDescent="0.25">
      <c r="A18" s="43" t="s">
        <v>15</v>
      </c>
      <c r="B18" s="51">
        <f>SUM(B8:B17)</f>
        <v>109.50788</v>
      </c>
      <c r="C18" s="44">
        <f>SUM(C8:C17)</f>
        <v>5.78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137</v>
      </c>
      <c r="B20" s="45"/>
      <c r="C20" s="42"/>
    </row>
    <row r="21" spans="1:3" ht="15" x14ac:dyDescent="0.25">
      <c r="A21" s="55" t="s">
        <v>264</v>
      </c>
      <c r="B21" s="45">
        <v>346.33287999999999</v>
      </c>
      <c r="C21" s="42">
        <v>18.279999999999998</v>
      </c>
    </row>
    <row r="22" spans="1:3" ht="15" x14ac:dyDescent="0.25">
      <c r="A22" s="55" t="s">
        <v>219</v>
      </c>
      <c r="B22" s="45">
        <v>256.7183</v>
      </c>
      <c r="C22" s="42">
        <v>13.55</v>
      </c>
    </row>
    <row r="23" spans="1:3" ht="15" x14ac:dyDescent="0.25">
      <c r="A23" s="55" t="s">
        <v>244</v>
      </c>
      <c r="B23" s="45">
        <v>239.28797999999998</v>
      </c>
      <c r="C23" s="42">
        <v>12.629999999999999</v>
      </c>
    </row>
    <row r="24" spans="1:3" ht="15" x14ac:dyDescent="0.25">
      <c r="A24" s="55" t="s">
        <v>160</v>
      </c>
      <c r="B24" s="45">
        <v>146.26312000000001</v>
      </c>
      <c r="C24" s="42">
        <v>7.7200000000000006</v>
      </c>
    </row>
    <row r="25" spans="1:3" ht="15" x14ac:dyDescent="0.25">
      <c r="A25" s="55" t="s">
        <v>37</v>
      </c>
      <c r="B25" s="45">
        <v>19.135460000000002</v>
      </c>
      <c r="C25" s="42">
        <v>1.01</v>
      </c>
    </row>
    <row r="26" spans="1:3" ht="15" x14ac:dyDescent="0.25">
      <c r="A26" s="55" t="s">
        <v>28</v>
      </c>
      <c r="B26" s="45">
        <v>17.998699999999999</v>
      </c>
      <c r="C26" s="42">
        <v>0.95</v>
      </c>
    </row>
    <row r="27" spans="1:3" ht="15" x14ac:dyDescent="0.25">
      <c r="A27" s="55" t="s">
        <v>149</v>
      </c>
      <c r="B27" s="45">
        <v>12.504360000000002</v>
      </c>
      <c r="C27" s="42">
        <v>0.66</v>
      </c>
    </row>
    <row r="28" spans="1:3" ht="15" x14ac:dyDescent="0.25">
      <c r="A28" s="55" t="s">
        <v>175</v>
      </c>
      <c r="B28" s="45">
        <v>3.5997400000000006</v>
      </c>
      <c r="C28" s="42">
        <v>0.19</v>
      </c>
    </row>
    <row r="29" spans="1:3" ht="15" x14ac:dyDescent="0.25">
      <c r="A29" s="55" t="s">
        <v>22</v>
      </c>
      <c r="B29" s="45">
        <v>3.0313600000000003</v>
      </c>
      <c r="C29" s="42">
        <v>0.16</v>
      </c>
    </row>
    <row r="30" spans="1:3" ht="15" x14ac:dyDescent="0.25">
      <c r="A30" s="41" t="s">
        <v>163</v>
      </c>
      <c r="B30" s="45">
        <v>1.32622</v>
      </c>
      <c r="C30" s="42">
        <v>6.9999999999999993E-2</v>
      </c>
    </row>
    <row r="31" spans="1:3" ht="15" x14ac:dyDescent="0.25">
      <c r="A31" s="43" t="s">
        <v>15</v>
      </c>
      <c r="B31" s="51">
        <f>SUM(B21:B30)</f>
        <v>1046.1981199999998</v>
      </c>
      <c r="C31" s="44">
        <f>SUM(C21:C30)</f>
        <v>55.219999999999985</v>
      </c>
    </row>
    <row r="32" spans="1:3" ht="15" x14ac:dyDescent="0.25">
      <c r="A32" s="41"/>
      <c r="B32" s="45"/>
      <c r="C32" s="42"/>
    </row>
    <row r="33" spans="1:3" ht="15" x14ac:dyDescent="0.25">
      <c r="A33" s="43" t="s">
        <v>138</v>
      </c>
      <c r="B33" s="45"/>
      <c r="C33" s="42"/>
    </row>
    <row r="34" spans="1:3" ht="15" x14ac:dyDescent="0.25">
      <c r="A34" s="55" t="s">
        <v>139</v>
      </c>
      <c r="B34" s="45">
        <v>91.888100000000009</v>
      </c>
      <c r="C34" s="42">
        <v>4.8500000000000005</v>
      </c>
    </row>
    <row r="35" spans="1:3" ht="15" x14ac:dyDescent="0.25">
      <c r="A35" s="55" t="s">
        <v>164</v>
      </c>
      <c r="B35" s="45">
        <v>78.436440000000005</v>
      </c>
      <c r="C35" s="42">
        <v>4.1399999999999997</v>
      </c>
    </row>
    <row r="36" spans="1:3" ht="15" x14ac:dyDescent="0.25">
      <c r="A36" s="55" t="s">
        <v>151</v>
      </c>
      <c r="B36" s="45">
        <v>77.86806</v>
      </c>
      <c r="C36" s="42">
        <v>4.1099999999999994</v>
      </c>
    </row>
    <row r="37" spans="1:3" ht="15" x14ac:dyDescent="0.25">
      <c r="A37" s="55" t="s">
        <v>165</v>
      </c>
      <c r="B37" s="45">
        <v>51.15420000000001</v>
      </c>
      <c r="C37" s="42">
        <v>2.7</v>
      </c>
    </row>
    <row r="38" spans="1:3" ht="15" x14ac:dyDescent="0.25">
      <c r="A38" s="55" t="s">
        <v>222</v>
      </c>
      <c r="B38" s="45">
        <v>50.585820000000005</v>
      </c>
      <c r="C38" s="42">
        <v>2.67</v>
      </c>
    </row>
    <row r="39" spans="1:3" ht="15" x14ac:dyDescent="0.25">
      <c r="A39" s="55" t="s">
        <v>223</v>
      </c>
      <c r="B39" s="45">
        <v>49.827979999999997</v>
      </c>
      <c r="C39" s="42">
        <v>2.63</v>
      </c>
    </row>
    <row r="40" spans="1:3" ht="15" x14ac:dyDescent="0.25">
      <c r="A40" s="55" t="s">
        <v>221</v>
      </c>
      <c r="B40" s="45">
        <v>48.880680000000005</v>
      </c>
      <c r="C40" s="42">
        <v>2.58</v>
      </c>
    </row>
    <row r="41" spans="1:3" ht="15" x14ac:dyDescent="0.25">
      <c r="A41" s="55" t="s">
        <v>153</v>
      </c>
      <c r="B41" s="45">
        <v>32.208200000000005</v>
      </c>
      <c r="C41" s="42">
        <v>1.7000000000000002</v>
      </c>
    </row>
    <row r="42" spans="1:3" ht="15" x14ac:dyDescent="0.25">
      <c r="A42" s="55" t="s">
        <v>166</v>
      </c>
      <c r="B42" s="45">
        <v>28.797920000000005</v>
      </c>
      <c r="C42" s="42">
        <v>1.52</v>
      </c>
    </row>
    <row r="43" spans="1:3" ht="15" x14ac:dyDescent="0.25">
      <c r="A43" s="55" t="s">
        <v>167</v>
      </c>
      <c r="B43" s="45">
        <v>20.461680000000005</v>
      </c>
      <c r="C43" s="42">
        <v>1.08</v>
      </c>
    </row>
    <row r="44" spans="1:3" ht="15" x14ac:dyDescent="0.25">
      <c r="A44" s="43" t="s">
        <v>15</v>
      </c>
      <c r="B44" s="51">
        <f>SUM(B34:B43)</f>
        <v>530.10908000000006</v>
      </c>
      <c r="C44" s="44">
        <f>SUM(C34:C43)</f>
        <v>27.979999999999997</v>
      </c>
    </row>
    <row r="45" spans="1:3" ht="15" x14ac:dyDescent="0.25">
      <c r="A45" s="41"/>
      <c r="B45" s="45"/>
      <c r="C45" s="42"/>
    </row>
    <row r="46" spans="1:3" ht="15" x14ac:dyDescent="0.25">
      <c r="A46" s="43" t="s">
        <v>16</v>
      </c>
      <c r="B46" s="51">
        <v>63.848020000000005</v>
      </c>
      <c r="C46" s="44">
        <v>3.37</v>
      </c>
    </row>
    <row r="47" spans="1:3" ht="15" x14ac:dyDescent="0.25">
      <c r="A47" s="41"/>
      <c r="B47" s="45"/>
      <c r="C47" s="42"/>
    </row>
    <row r="48" spans="1:3" ht="15" x14ac:dyDescent="0.25">
      <c r="A48" s="43" t="s">
        <v>17</v>
      </c>
      <c r="B48" s="51">
        <v>144.93690000000038</v>
      </c>
      <c r="C48" s="44">
        <v>7.6500000000000199</v>
      </c>
    </row>
    <row r="49" spans="1:3" ht="15" x14ac:dyDescent="0.25">
      <c r="A49" s="41"/>
      <c r="B49" s="45"/>
      <c r="C49" s="42"/>
    </row>
    <row r="50" spans="1:3" ht="15" x14ac:dyDescent="0.25">
      <c r="A50" s="48" t="s">
        <v>18</v>
      </c>
      <c r="B50" s="56">
        <f>SUM(B18,B31,B44,B46,B48)</f>
        <v>1894.6000000000001</v>
      </c>
      <c r="C50" s="50">
        <f>SUM(C18,C31,C44,C46,C48)</f>
        <v>100.00000000000001</v>
      </c>
    </row>
  </sheetData>
  <mergeCells count="2">
    <mergeCell ref="A5:A6"/>
    <mergeCell ref="C5:C6"/>
  </mergeCells>
  <hyperlinks>
    <hyperlink ref="A1" location="Index!A1" display="Back to Links" xr:uid="{D0915F0B-6AEA-4290-BE5F-BA46D197EBC4}"/>
  </hyperlinks>
  <pageMargins left="0.75" right="0.75" top="1" bottom="1" header="0.5" footer="0.5"/>
  <pageSetup paperSize="9" orientation="portrait"/>
  <headerFooter alignWithMargins="0">
    <oddFooter>&amp;L&amp;"Calibri"&amp;9 &amp;K000000#Cogencis Information classification: Official_x000D_&amp;1#&amp;"Aptos"&amp;9&amp;K000000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FE7D-3E79-49DE-BEA2-78BCBCBC8636}">
  <sheetPr codeName="Sheet6"/>
  <dimension ref="A1:G37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79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274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  <c r="F4" s="26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  <c r="E6" s="23"/>
    </row>
    <row r="7" spans="1:7" ht="13.5" customHeight="1" thickTop="1" x14ac:dyDescent="0.25">
      <c r="A7" s="43" t="s">
        <v>21</v>
      </c>
      <c r="B7" s="45"/>
      <c r="C7" s="42"/>
    </row>
    <row r="8" spans="1:7" ht="15" x14ac:dyDescent="0.25">
      <c r="A8" s="55" t="s">
        <v>264</v>
      </c>
      <c r="B8" s="45">
        <v>1199.3091199999999</v>
      </c>
      <c r="C8" s="42">
        <v>11.84</v>
      </c>
    </row>
    <row r="9" spans="1:7" ht="15" x14ac:dyDescent="0.25">
      <c r="A9" s="55" t="s">
        <v>244</v>
      </c>
      <c r="B9" s="45">
        <v>890.36547000000007</v>
      </c>
      <c r="C9" s="42">
        <v>8.7900000000000009</v>
      </c>
    </row>
    <row r="10" spans="1:7" ht="15" x14ac:dyDescent="0.25">
      <c r="A10" s="55" t="s">
        <v>219</v>
      </c>
      <c r="B10" s="45">
        <v>651.31398999999988</v>
      </c>
      <c r="C10" s="42">
        <v>6.43</v>
      </c>
    </row>
    <row r="11" spans="1:7" ht="15" x14ac:dyDescent="0.25">
      <c r="A11" s="55" t="s">
        <v>224</v>
      </c>
      <c r="B11" s="45">
        <v>547.99513000000002</v>
      </c>
      <c r="C11" s="42">
        <v>5.41</v>
      </c>
    </row>
    <row r="12" spans="1:7" ht="15" x14ac:dyDescent="0.25">
      <c r="A12" s="55" t="s">
        <v>150</v>
      </c>
      <c r="B12" s="45">
        <v>542.93047999999999</v>
      </c>
      <c r="C12" s="42">
        <v>5.36</v>
      </c>
    </row>
    <row r="13" spans="1:7" ht="15" x14ac:dyDescent="0.25">
      <c r="A13" s="55" t="s">
        <v>273</v>
      </c>
      <c r="B13" s="45">
        <v>353.51256999999998</v>
      </c>
      <c r="C13" s="42">
        <v>3.49</v>
      </c>
    </row>
    <row r="14" spans="1:7" ht="15" x14ac:dyDescent="0.25">
      <c r="A14" s="55" t="s">
        <v>245</v>
      </c>
      <c r="B14" s="45">
        <v>347.43498999999997</v>
      </c>
      <c r="C14" s="42">
        <v>3.4299999999999997</v>
      </c>
    </row>
    <row r="15" spans="1:7" ht="15" x14ac:dyDescent="0.25">
      <c r="A15" s="55" t="s">
        <v>225</v>
      </c>
      <c r="B15" s="45">
        <v>231.96096999999997</v>
      </c>
      <c r="C15" s="42">
        <v>2.29</v>
      </c>
    </row>
    <row r="16" spans="1:7" ht="15" x14ac:dyDescent="0.25">
      <c r="A16" s="55" t="s">
        <v>160</v>
      </c>
      <c r="B16" s="45">
        <v>224.87046000000001</v>
      </c>
      <c r="C16" s="42">
        <v>2.2200000000000002</v>
      </c>
    </row>
    <row r="17" spans="1:3" ht="15" x14ac:dyDescent="0.25">
      <c r="A17" s="55" t="s">
        <v>149</v>
      </c>
      <c r="B17" s="45">
        <v>101.29299999999999</v>
      </c>
      <c r="C17" s="42">
        <v>1</v>
      </c>
    </row>
    <row r="18" spans="1:3" ht="15" x14ac:dyDescent="0.25">
      <c r="A18" s="43" t="s">
        <v>15</v>
      </c>
      <c r="B18" s="51">
        <f>SUM(B8:B17)</f>
        <v>5090.9861799999999</v>
      </c>
      <c r="C18" s="44">
        <f>SUM(C8:C17)</f>
        <v>50.26</v>
      </c>
    </row>
    <row r="19" spans="1:3" ht="15" x14ac:dyDescent="0.25">
      <c r="A19" s="41"/>
      <c r="B19" s="45"/>
      <c r="C19" s="42"/>
    </row>
    <row r="20" spans="1:3" ht="15" x14ac:dyDescent="0.25">
      <c r="A20" s="43" t="s">
        <v>138</v>
      </c>
      <c r="B20" s="45"/>
      <c r="C20" s="42"/>
    </row>
    <row r="21" spans="1:3" ht="15" x14ac:dyDescent="0.25">
      <c r="A21" s="55" t="s">
        <v>226</v>
      </c>
      <c r="B21" s="45">
        <v>771.8526599999999</v>
      </c>
      <c r="C21" s="42">
        <v>7.62</v>
      </c>
    </row>
    <row r="22" spans="1:3" ht="15" x14ac:dyDescent="0.25">
      <c r="A22" s="55" t="s">
        <v>221</v>
      </c>
      <c r="B22" s="45">
        <v>732.34838999999988</v>
      </c>
      <c r="C22" s="42">
        <v>7.23</v>
      </c>
    </row>
    <row r="23" spans="1:3" ht="15" x14ac:dyDescent="0.25">
      <c r="A23" s="55" t="s">
        <v>223</v>
      </c>
      <c r="B23" s="45">
        <v>377.82288999999997</v>
      </c>
      <c r="C23" s="42">
        <v>3.73</v>
      </c>
    </row>
    <row r="24" spans="1:3" ht="15" x14ac:dyDescent="0.25">
      <c r="A24" s="55" t="s">
        <v>246</v>
      </c>
      <c r="B24" s="45">
        <v>361.61601000000002</v>
      </c>
      <c r="C24" s="42">
        <v>3.5700000000000003</v>
      </c>
    </row>
    <row r="25" spans="1:3" ht="15" x14ac:dyDescent="0.25">
      <c r="A25" s="55" t="s">
        <v>151</v>
      </c>
      <c r="B25" s="45">
        <v>343.38326999999998</v>
      </c>
      <c r="C25" s="42">
        <v>3.39</v>
      </c>
    </row>
    <row r="26" spans="1:3" ht="15" x14ac:dyDescent="0.25">
      <c r="A26" s="55" t="s">
        <v>171</v>
      </c>
      <c r="B26" s="45">
        <v>254.24543000000003</v>
      </c>
      <c r="C26" s="42">
        <v>2.5100000000000002</v>
      </c>
    </row>
    <row r="27" spans="1:3" ht="15" x14ac:dyDescent="0.25">
      <c r="A27" s="55" t="s">
        <v>168</v>
      </c>
      <c r="B27" s="45">
        <v>251.20663999999996</v>
      </c>
      <c r="C27" s="42">
        <v>2.48</v>
      </c>
    </row>
    <row r="28" spans="1:3" ht="15" x14ac:dyDescent="0.25">
      <c r="A28" s="55" t="s">
        <v>139</v>
      </c>
      <c r="B28" s="45">
        <v>245.12905999999998</v>
      </c>
      <c r="C28" s="42">
        <v>2.42</v>
      </c>
    </row>
    <row r="29" spans="1:3" ht="15" x14ac:dyDescent="0.25">
      <c r="A29" s="55" t="s">
        <v>156</v>
      </c>
      <c r="B29" s="45">
        <v>162.06879999999998</v>
      </c>
      <c r="C29" s="42">
        <v>1.6</v>
      </c>
    </row>
    <row r="30" spans="1:3" ht="15" x14ac:dyDescent="0.25">
      <c r="A30" s="55" t="s">
        <v>172</v>
      </c>
      <c r="B30" s="45">
        <v>113.44815999999999</v>
      </c>
      <c r="C30" s="42">
        <v>1.1199999999999999</v>
      </c>
    </row>
    <row r="31" spans="1:3" ht="15" x14ac:dyDescent="0.25">
      <c r="A31" s="43" t="s">
        <v>15</v>
      </c>
      <c r="B31" s="51">
        <f>SUM(B21:B30)</f>
        <v>3613.1213099999995</v>
      </c>
      <c r="C31" s="44">
        <f>SUM(C21:C30)</f>
        <v>35.67</v>
      </c>
    </row>
    <row r="32" spans="1:3" ht="15" x14ac:dyDescent="0.25">
      <c r="A32" s="41"/>
      <c r="B32" s="45"/>
      <c r="C32" s="42"/>
    </row>
    <row r="33" spans="1:3" ht="15" x14ac:dyDescent="0.25">
      <c r="A33" s="43" t="s">
        <v>16</v>
      </c>
      <c r="B33" s="51">
        <v>501.40034999999995</v>
      </c>
      <c r="C33" s="44">
        <v>4.95</v>
      </c>
    </row>
    <row r="34" spans="1:3" ht="15" x14ac:dyDescent="0.25">
      <c r="A34" s="41"/>
      <c r="B34" s="45"/>
      <c r="C34" s="42"/>
    </row>
    <row r="35" spans="1:3" ht="15" x14ac:dyDescent="0.25">
      <c r="A35" s="43" t="s">
        <v>17</v>
      </c>
      <c r="B35" s="51">
        <v>923.79215999999894</v>
      </c>
      <c r="C35" s="44">
        <v>9.1199999999999903</v>
      </c>
    </row>
    <row r="36" spans="1:3" ht="15" x14ac:dyDescent="0.25">
      <c r="A36" s="41"/>
      <c r="B36" s="45"/>
      <c r="C36" s="42"/>
    </row>
    <row r="37" spans="1:3" ht="15" x14ac:dyDescent="0.25">
      <c r="A37" s="48" t="s">
        <v>18</v>
      </c>
      <c r="B37" s="56">
        <f>SUM(B18,B31,B33,B35)</f>
        <v>10129.299999999997</v>
      </c>
      <c r="C37" s="50">
        <f>SUM(C18,C31,C33,C35)</f>
        <v>100</v>
      </c>
    </row>
  </sheetData>
  <mergeCells count="2">
    <mergeCell ref="A5:A6"/>
    <mergeCell ref="C5:C6"/>
  </mergeCells>
  <hyperlinks>
    <hyperlink ref="A1" location="Index!A1" display="Back to Links" xr:uid="{CF27C18F-D455-4767-BC42-956FD0D775BA}"/>
  </hyperlinks>
  <pageMargins left="0.75" right="0.75" top="1" bottom="1" header="0.5" footer="0.5"/>
  <pageSetup orientation="portrait"/>
  <headerFooter alignWithMargins="0">
    <oddFooter>&amp;L&amp;"Calibri"&amp;9 &amp;K000000#Cogencis Information classification: Official_x000D_&amp;1#&amp;"Aptos"&amp;9&amp;K000000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E0B1-187D-4E69-A325-7B02BB8D0016}">
  <sheetPr codeName="Sheet8"/>
  <dimension ref="A1:G50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60.28515625" bestFit="1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46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277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  <c r="E6" s="27"/>
      <c r="F6" s="22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8</v>
      </c>
      <c r="B8" s="45">
        <v>218.24063000000001</v>
      </c>
      <c r="C8" s="42">
        <v>6.43</v>
      </c>
    </row>
    <row r="9" spans="1:7" ht="15" x14ac:dyDescent="0.25">
      <c r="A9" s="41" t="s">
        <v>7</v>
      </c>
      <c r="B9" s="45">
        <v>150.35863000000001</v>
      </c>
      <c r="C9" s="42">
        <v>4.43</v>
      </c>
    </row>
    <row r="10" spans="1:7" ht="15" x14ac:dyDescent="0.25">
      <c r="A10" s="41" t="s">
        <v>9</v>
      </c>
      <c r="B10" s="45">
        <v>113.02353000000002</v>
      </c>
      <c r="C10" s="42">
        <v>3.3300000000000005</v>
      </c>
    </row>
    <row r="11" spans="1:7" ht="15" x14ac:dyDescent="0.25">
      <c r="A11" s="41" t="s">
        <v>20</v>
      </c>
      <c r="B11" s="45">
        <v>104.87769</v>
      </c>
      <c r="C11" s="42">
        <v>3.09</v>
      </c>
    </row>
    <row r="12" spans="1:7" ht="15" x14ac:dyDescent="0.25">
      <c r="A12" s="41" t="s">
        <v>25</v>
      </c>
      <c r="B12" s="45">
        <v>91.301290000000009</v>
      </c>
      <c r="C12" s="42">
        <v>2.69</v>
      </c>
    </row>
    <row r="13" spans="1:7" ht="15" x14ac:dyDescent="0.25">
      <c r="A13" s="41" t="s">
        <v>13</v>
      </c>
      <c r="B13" s="45">
        <v>77.724890000000016</v>
      </c>
      <c r="C13" s="42">
        <v>2.29</v>
      </c>
    </row>
    <row r="14" spans="1:7" ht="15" x14ac:dyDescent="0.25">
      <c r="A14" s="41" t="s">
        <v>29</v>
      </c>
      <c r="B14" s="45">
        <v>72.973150000000004</v>
      </c>
      <c r="C14" s="42">
        <v>2.15</v>
      </c>
    </row>
    <row r="15" spans="1:7" ht="15" x14ac:dyDescent="0.25">
      <c r="A15" s="41" t="s">
        <v>95</v>
      </c>
      <c r="B15" s="45">
        <v>67.203180000000017</v>
      </c>
      <c r="C15" s="42">
        <v>1.9800000000000002</v>
      </c>
    </row>
    <row r="16" spans="1:7" ht="15" x14ac:dyDescent="0.25">
      <c r="A16" s="41" t="s">
        <v>114</v>
      </c>
      <c r="B16" s="45">
        <v>56.00265000000001</v>
      </c>
      <c r="C16" s="42">
        <v>1.6500000000000001</v>
      </c>
    </row>
    <row r="17" spans="1:3" ht="15" x14ac:dyDescent="0.25">
      <c r="A17" s="41" t="s">
        <v>27</v>
      </c>
      <c r="B17" s="45">
        <v>52.947960000000002</v>
      </c>
      <c r="C17" s="42">
        <v>1.5599999999999998</v>
      </c>
    </row>
    <row r="18" spans="1:3" ht="15" x14ac:dyDescent="0.25">
      <c r="A18" s="43" t="s">
        <v>15</v>
      </c>
      <c r="B18" s="51">
        <f>SUM(B8:B17)</f>
        <v>1004.6536</v>
      </c>
      <c r="C18" s="44">
        <f>SUM(C8:C17)</f>
        <v>29.599999999999998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137</v>
      </c>
      <c r="B20" s="45"/>
      <c r="C20" s="42"/>
    </row>
    <row r="21" spans="1:3" ht="15" x14ac:dyDescent="0.25">
      <c r="A21" s="55" t="s">
        <v>264</v>
      </c>
      <c r="B21" s="45">
        <v>288.83791000000002</v>
      </c>
      <c r="C21" s="42">
        <v>8.51</v>
      </c>
    </row>
    <row r="22" spans="1:3" ht="15" x14ac:dyDescent="0.25">
      <c r="A22" s="55" t="s">
        <v>219</v>
      </c>
      <c r="B22" s="45">
        <v>269.49154000000004</v>
      </c>
      <c r="C22" s="42">
        <v>7.9399999999999995</v>
      </c>
    </row>
    <row r="23" spans="1:3" ht="15" x14ac:dyDescent="0.25">
      <c r="A23" s="55" t="s">
        <v>149</v>
      </c>
      <c r="B23" s="45">
        <v>104.19887000000003</v>
      </c>
      <c r="C23" s="42">
        <v>3.0700000000000003</v>
      </c>
    </row>
    <row r="24" spans="1:3" ht="15" x14ac:dyDescent="0.25">
      <c r="A24" s="55" t="s">
        <v>273</v>
      </c>
      <c r="B24" s="45">
        <v>100.80477000000002</v>
      </c>
      <c r="C24" s="42">
        <v>2.97</v>
      </c>
    </row>
    <row r="25" spans="1:3" ht="15" x14ac:dyDescent="0.25">
      <c r="A25" s="55" t="s">
        <v>244</v>
      </c>
      <c r="B25" s="45">
        <v>83.494860000000003</v>
      </c>
      <c r="C25" s="42">
        <v>2.46</v>
      </c>
    </row>
    <row r="26" spans="1:3" ht="15" x14ac:dyDescent="0.25">
      <c r="A26" s="55" t="s">
        <v>22</v>
      </c>
      <c r="B26" s="45">
        <v>77.724890000000016</v>
      </c>
      <c r="C26" s="42">
        <v>2.29</v>
      </c>
    </row>
    <row r="27" spans="1:3" ht="15" x14ac:dyDescent="0.25">
      <c r="A27" s="55" t="s">
        <v>269</v>
      </c>
      <c r="B27" s="45">
        <v>50.57209000000001</v>
      </c>
      <c r="C27" s="42">
        <v>1.49</v>
      </c>
    </row>
    <row r="28" spans="1:3" ht="15" x14ac:dyDescent="0.25">
      <c r="A28" s="55" t="s">
        <v>26</v>
      </c>
      <c r="B28" s="45">
        <v>47.517400000000009</v>
      </c>
      <c r="C28" s="42">
        <v>1.4000000000000001</v>
      </c>
    </row>
    <row r="29" spans="1:3" ht="15" x14ac:dyDescent="0.25">
      <c r="A29" s="55" t="s">
        <v>275</v>
      </c>
      <c r="B29" s="45">
        <v>16.970500000000001</v>
      </c>
      <c r="C29" s="42">
        <v>0.5</v>
      </c>
    </row>
    <row r="30" spans="1:3" ht="15" x14ac:dyDescent="0.25">
      <c r="A30" s="55" t="s">
        <v>37</v>
      </c>
      <c r="B30" s="45">
        <v>13.23699</v>
      </c>
      <c r="C30" s="42">
        <v>0.38999999999999996</v>
      </c>
    </row>
    <row r="31" spans="1:3" ht="15" x14ac:dyDescent="0.25">
      <c r="A31" s="43" t="s">
        <v>15</v>
      </c>
      <c r="B31" s="51">
        <f>SUM(B21:B30)</f>
        <v>1052.8498200000001</v>
      </c>
      <c r="C31" s="44">
        <f>SUM(C21:C30)</f>
        <v>31.019999999999996</v>
      </c>
    </row>
    <row r="32" spans="1:3" ht="15" x14ac:dyDescent="0.25">
      <c r="A32" s="41"/>
      <c r="B32" s="45"/>
      <c r="C32" s="42"/>
    </row>
    <row r="33" spans="1:3" ht="15" x14ac:dyDescent="0.25">
      <c r="A33" s="43" t="s">
        <v>138</v>
      </c>
      <c r="B33" s="45"/>
      <c r="C33" s="42"/>
    </row>
    <row r="34" spans="1:3" ht="15" x14ac:dyDescent="0.25">
      <c r="A34" s="55" t="s">
        <v>156</v>
      </c>
      <c r="B34" s="45">
        <v>63.809080000000016</v>
      </c>
      <c r="C34" s="42">
        <v>1.8800000000000001</v>
      </c>
    </row>
    <row r="35" spans="1:3" ht="15" x14ac:dyDescent="0.25">
      <c r="A35" s="55" t="s">
        <v>221</v>
      </c>
      <c r="B35" s="45">
        <v>63.469670000000015</v>
      </c>
      <c r="C35" s="42">
        <v>1.87</v>
      </c>
    </row>
    <row r="36" spans="1:3" ht="15" x14ac:dyDescent="0.25">
      <c r="A36" s="55" t="s">
        <v>222</v>
      </c>
      <c r="B36" s="45">
        <v>50.57209000000001</v>
      </c>
      <c r="C36" s="42">
        <v>1.49</v>
      </c>
    </row>
    <row r="37" spans="1:3" ht="15" x14ac:dyDescent="0.25">
      <c r="A37" s="55" t="s">
        <v>223</v>
      </c>
      <c r="B37" s="45">
        <v>49.893270000000001</v>
      </c>
      <c r="C37" s="42">
        <v>1.47</v>
      </c>
    </row>
    <row r="38" spans="1:3" ht="15" x14ac:dyDescent="0.25">
      <c r="A38" s="55" t="s">
        <v>153</v>
      </c>
      <c r="B38" s="45">
        <v>48.535629999999998</v>
      </c>
      <c r="C38" s="42">
        <v>1.43</v>
      </c>
    </row>
    <row r="39" spans="1:3" ht="15" x14ac:dyDescent="0.25">
      <c r="A39" s="55" t="s">
        <v>246</v>
      </c>
      <c r="B39" s="45">
        <v>40.050379999999997</v>
      </c>
      <c r="C39" s="42">
        <v>1.18</v>
      </c>
    </row>
    <row r="40" spans="1:3" ht="15" x14ac:dyDescent="0.25">
      <c r="A40" s="55" t="s">
        <v>139</v>
      </c>
      <c r="B40" s="45">
        <v>37.335099999999997</v>
      </c>
      <c r="C40" s="42">
        <v>1.0999999999999999</v>
      </c>
    </row>
    <row r="41" spans="1:3" ht="15" x14ac:dyDescent="0.25">
      <c r="A41" s="55" t="s">
        <v>276</v>
      </c>
      <c r="B41" s="45">
        <v>30.546900000000001</v>
      </c>
      <c r="C41" s="42">
        <v>0.89999999999999991</v>
      </c>
    </row>
    <row r="42" spans="1:3" ht="15" x14ac:dyDescent="0.25">
      <c r="A42" s="55" t="s">
        <v>173</v>
      </c>
      <c r="B42" s="45">
        <v>29.868080000000006</v>
      </c>
      <c r="C42" s="42">
        <v>0.88</v>
      </c>
    </row>
    <row r="43" spans="1:3" ht="15" x14ac:dyDescent="0.25">
      <c r="A43" s="55" t="s">
        <v>151</v>
      </c>
      <c r="B43" s="45">
        <v>26.813390000000005</v>
      </c>
      <c r="C43" s="42">
        <v>0.79</v>
      </c>
    </row>
    <row r="44" spans="1:3" ht="15" x14ac:dyDescent="0.25">
      <c r="A44" s="43" t="s">
        <v>15</v>
      </c>
      <c r="B44" s="51">
        <f>SUM(B34:B43)</f>
        <v>440.89359000000013</v>
      </c>
      <c r="C44" s="44">
        <f>SUM(C34:C43)</f>
        <v>12.990000000000002</v>
      </c>
    </row>
    <row r="45" spans="1:3" ht="15" x14ac:dyDescent="0.25">
      <c r="A45" s="41"/>
      <c r="B45" s="45"/>
      <c r="C45" s="42"/>
    </row>
    <row r="46" spans="1:3" ht="15" x14ac:dyDescent="0.25">
      <c r="A46" s="43" t="s">
        <v>16</v>
      </c>
      <c r="B46" s="51">
        <v>84.173680000000004</v>
      </c>
      <c r="C46" s="44">
        <v>2.48</v>
      </c>
    </row>
    <row r="47" spans="1:3" ht="15" x14ac:dyDescent="0.25">
      <c r="A47" s="41"/>
      <c r="B47" s="45"/>
      <c r="C47" s="42"/>
    </row>
    <row r="48" spans="1:3" ht="15" x14ac:dyDescent="0.25">
      <c r="A48" s="43" t="s">
        <v>17</v>
      </c>
      <c r="B48" s="51">
        <v>811.52930999999955</v>
      </c>
      <c r="C48" s="44">
        <v>23.909999999999982</v>
      </c>
    </row>
    <row r="49" spans="1:3" ht="15" x14ac:dyDescent="0.25">
      <c r="A49" s="41"/>
      <c r="B49" s="45"/>
      <c r="C49" s="42"/>
    </row>
    <row r="50" spans="1:3" ht="15" x14ac:dyDescent="0.25">
      <c r="A50" s="48" t="s">
        <v>18</v>
      </c>
      <c r="B50" s="56">
        <f>SUM(B18,B31,B44,B46,B48)</f>
        <v>3394.0999999999995</v>
      </c>
      <c r="C50" s="50">
        <f>SUM(C18,C31,C44,C46,C48)</f>
        <v>99.999999999999972</v>
      </c>
    </row>
  </sheetData>
  <mergeCells count="2">
    <mergeCell ref="A5:A6"/>
    <mergeCell ref="C5:C6"/>
  </mergeCells>
  <hyperlinks>
    <hyperlink ref="A1" location="Index!A1" display="Back to Links" xr:uid="{5E15F059-1900-4B27-99C5-B2181B7007F6}"/>
  </hyperlinks>
  <pageMargins left="0.7" right="0.7" top="0.75" bottom="0.75" header="0.3" footer="0.3"/>
  <pageSetup paperSize="9" orientation="portrait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22BA-4735-40DA-BF49-C2674D9051EB}">
  <sheetPr codeName="Sheet9"/>
  <dimension ref="A1:G9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80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278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  <c r="E5" s="22"/>
    </row>
    <row r="6" spans="1:7" ht="16.5" customHeight="1" thickTop="1" thickBot="1" x14ac:dyDescent="0.25">
      <c r="A6" s="64"/>
      <c r="B6" s="10" t="s">
        <v>6</v>
      </c>
      <c r="C6" s="66"/>
      <c r="E6" s="23"/>
    </row>
    <row r="7" spans="1:7" ht="13.5" customHeight="1" thickTop="1" x14ac:dyDescent="0.25">
      <c r="A7" s="43" t="s">
        <v>135</v>
      </c>
      <c r="B7" s="51">
        <v>56.2</v>
      </c>
      <c r="C7" s="44">
        <v>100</v>
      </c>
    </row>
    <row r="8" spans="1:7" ht="15" x14ac:dyDescent="0.25">
      <c r="A8" s="41"/>
      <c r="B8" s="45"/>
      <c r="C8" s="42"/>
    </row>
    <row r="9" spans="1:7" ht="15" x14ac:dyDescent="0.25">
      <c r="A9" s="48" t="s">
        <v>18</v>
      </c>
      <c r="B9" s="56">
        <f>SUM(B7)</f>
        <v>56.2</v>
      </c>
      <c r="C9" s="50">
        <f>SUM(C7)</f>
        <v>100</v>
      </c>
    </row>
  </sheetData>
  <mergeCells count="2">
    <mergeCell ref="A5:A6"/>
    <mergeCell ref="C5:C6"/>
  </mergeCells>
  <hyperlinks>
    <hyperlink ref="A1" location="Index!A1" display="Back to Links" xr:uid="{E00BC064-A13F-44CF-AFB3-221518CF8B69}"/>
  </hyperlinks>
  <pageMargins left="0.7" right="0.7" top="0.75" bottom="0.75" header="0.3" footer="0.3"/>
  <pageSetup paperSize="9" orientation="portrait" horizontalDpi="4294967295" verticalDpi="4294967295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5DB1-676F-46BC-99F6-91F880A81697}">
  <sheetPr codeName="Sheet10"/>
  <dimension ref="A1:D37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</cols>
  <sheetData>
    <row r="1" spans="1:4" ht="15" customHeight="1" x14ac:dyDescent="0.2">
      <c r="A1" s="34" t="s">
        <v>2</v>
      </c>
      <c r="B1" s="3"/>
      <c r="C1" s="3"/>
      <c r="D1" s="2"/>
    </row>
    <row r="2" spans="1:4" s="15" customFormat="1" ht="18.75" customHeight="1" thickBot="1" x14ac:dyDescent="0.3">
      <c r="A2" s="19" t="s">
        <v>81</v>
      </c>
      <c r="B2" s="28"/>
      <c r="C2" s="28"/>
      <c r="D2" s="11"/>
    </row>
    <row r="3" spans="1:4" s="18" customFormat="1" ht="30" customHeight="1" thickBot="1" x14ac:dyDescent="0.25">
      <c r="A3" s="20" t="s">
        <v>279</v>
      </c>
      <c r="B3" s="3"/>
      <c r="C3" s="3"/>
      <c r="D3" s="1"/>
    </row>
    <row r="4" spans="1:4" s="15" customFormat="1" ht="16.5" customHeight="1" thickBot="1" x14ac:dyDescent="0.3">
      <c r="A4" s="16"/>
      <c r="B4" s="28"/>
      <c r="C4" s="28"/>
      <c r="D4" s="11"/>
    </row>
    <row r="5" spans="1:4" s="15" customFormat="1" ht="16.5" customHeight="1" thickTop="1" thickBot="1" x14ac:dyDescent="0.3">
      <c r="A5" s="63" t="s">
        <v>3</v>
      </c>
      <c r="B5" s="8" t="s">
        <v>4</v>
      </c>
      <c r="C5" s="65" t="s">
        <v>5</v>
      </c>
    </row>
    <row r="6" spans="1:4" ht="16.5" customHeight="1" thickTop="1" thickBot="1" x14ac:dyDescent="0.25">
      <c r="A6" s="64"/>
      <c r="B6" s="10" t="s">
        <v>6</v>
      </c>
      <c r="C6" s="66"/>
    </row>
    <row r="7" spans="1:4" ht="13.5" customHeight="1" thickTop="1" thickBot="1" x14ac:dyDescent="0.3">
      <c r="A7" s="43" t="s">
        <v>21</v>
      </c>
      <c r="B7" s="45"/>
      <c r="C7" s="42"/>
    </row>
    <row r="8" spans="1:4" ht="15" x14ac:dyDescent="0.25">
      <c r="A8" s="55" t="s">
        <v>219</v>
      </c>
      <c r="B8" s="45">
        <v>354.72098</v>
      </c>
      <c r="C8" s="42">
        <v>20.059999999999999</v>
      </c>
    </row>
    <row r="9" spans="1:4" ht="15" x14ac:dyDescent="0.25">
      <c r="A9" s="55" t="s">
        <v>264</v>
      </c>
      <c r="B9" s="45">
        <v>284.16581000000002</v>
      </c>
      <c r="C9" s="42">
        <v>16.07</v>
      </c>
    </row>
    <row r="10" spans="1:4" ht="15" x14ac:dyDescent="0.25">
      <c r="A10" s="55" t="s">
        <v>244</v>
      </c>
      <c r="B10" s="45">
        <v>238.54366999999999</v>
      </c>
      <c r="C10" s="42">
        <v>13.489999999999998</v>
      </c>
    </row>
    <row r="11" spans="1:4" ht="15" x14ac:dyDescent="0.25">
      <c r="A11" s="55" t="s">
        <v>225</v>
      </c>
      <c r="B11" s="45">
        <v>115.82365000000001</v>
      </c>
      <c r="C11" s="42">
        <v>6.5500000000000007</v>
      </c>
    </row>
    <row r="12" spans="1:4" ht="15" x14ac:dyDescent="0.25">
      <c r="A12" s="55" t="s">
        <v>160</v>
      </c>
      <c r="B12" s="45">
        <v>37.841619999999999</v>
      </c>
      <c r="C12" s="42">
        <v>2.1399999999999997</v>
      </c>
    </row>
    <row r="13" spans="1:4" ht="15" x14ac:dyDescent="0.25">
      <c r="A13" s="55" t="s">
        <v>275</v>
      </c>
      <c r="B13" s="45">
        <v>27.054990000000004</v>
      </c>
      <c r="C13" s="42">
        <v>1.53</v>
      </c>
    </row>
    <row r="14" spans="1:4" ht="15" x14ac:dyDescent="0.25">
      <c r="A14" s="55" t="s">
        <v>174</v>
      </c>
      <c r="B14" s="45">
        <v>26.170840000000002</v>
      </c>
      <c r="C14" s="42">
        <v>1.48</v>
      </c>
    </row>
    <row r="15" spans="1:4" ht="15" x14ac:dyDescent="0.25">
      <c r="A15" s="55" t="s">
        <v>163</v>
      </c>
      <c r="B15" s="45">
        <v>9.7256499999999999</v>
      </c>
      <c r="C15" s="42">
        <v>0.54999999999999993</v>
      </c>
    </row>
    <row r="16" spans="1:4" ht="15" x14ac:dyDescent="0.25">
      <c r="A16" s="55" t="s">
        <v>175</v>
      </c>
      <c r="B16" s="45">
        <v>6.8963699999999992</v>
      </c>
      <c r="C16" s="42">
        <v>0.38999999999999996</v>
      </c>
    </row>
    <row r="17" spans="1:3" ht="15.75" thickBot="1" x14ac:dyDescent="0.3">
      <c r="A17" s="55" t="s">
        <v>37</v>
      </c>
      <c r="B17" s="45">
        <v>6.3658800000000006</v>
      </c>
      <c r="C17" s="42">
        <v>0.36</v>
      </c>
    </row>
    <row r="18" spans="1:3" ht="15.75" thickBot="1" x14ac:dyDescent="0.3">
      <c r="A18" s="43" t="s">
        <v>15</v>
      </c>
      <c r="B18" s="51">
        <f>SUM(B8:B17)</f>
        <v>1107.3094600000002</v>
      </c>
      <c r="C18" s="44">
        <f>SUM(C8:C17)</f>
        <v>62.619999999999983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138</v>
      </c>
      <c r="B20" s="45"/>
      <c r="C20" s="42"/>
    </row>
    <row r="21" spans="1:3" ht="15" x14ac:dyDescent="0.25">
      <c r="A21" s="55" t="s">
        <v>151</v>
      </c>
      <c r="B21" s="45">
        <v>104.86019</v>
      </c>
      <c r="C21" s="42">
        <v>5.93</v>
      </c>
    </row>
    <row r="22" spans="1:3" ht="15" x14ac:dyDescent="0.25">
      <c r="A22" s="55" t="s">
        <v>222</v>
      </c>
      <c r="B22" s="45">
        <v>101.32359000000001</v>
      </c>
      <c r="C22" s="42">
        <v>5.7299999999999995</v>
      </c>
    </row>
    <row r="23" spans="1:3" ht="15" x14ac:dyDescent="0.25">
      <c r="A23" s="55" t="s">
        <v>176</v>
      </c>
      <c r="B23" s="45">
        <v>50.042890000000007</v>
      </c>
      <c r="C23" s="42">
        <v>2.83</v>
      </c>
    </row>
    <row r="24" spans="1:3" ht="15" x14ac:dyDescent="0.25">
      <c r="A24" s="55" t="s">
        <v>223</v>
      </c>
      <c r="B24" s="45">
        <v>49.866060000000004</v>
      </c>
      <c r="C24" s="42">
        <v>2.82</v>
      </c>
    </row>
    <row r="25" spans="1:3" ht="15" x14ac:dyDescent="0.25">
      <c r="A25" s="55" t="s">
        <v>164</v>
      </c>
      <c r="B25" s="45">
        <v>48.981910000000006</v>
      </c>
      <c r="C25" s="42">
        <v>2.77</v>
      </c>
    </row>
    <row r="26" spans="1:3" ht="15" x14ac:dyDescent="0.25">
      <c r="A26" s="55" t="s">
        <v>139</v>
      </c>
      <c r="B26" s="45">
        <v>36.780640000000005</v>
      </c>
      <c r="C26" s="42">
        <v>2.08</v>
      </c>
    </row>
    <row r="27" spans="1:3" ht="15" x14ac:dyDescent="0.25">
      <c r="A27" s="55" t="s">
        <v>172</v>
      </c>
      <c r="B27" s="45">
        <v>35.012340000000009</v>
      </c>
      <c r="C27" s="42">
        <v>1.9800000000000002</v>
      </c>
    </row>
    <row r="28" spans="1:3" ht="15" x14ac:dyDescent="0.25">
      <c r="A28" s="55" t="s">
        <v>161</v>
      </c>
      <c r="B28" s="45">
        <v>29.530610000000003</v>
      </c>
      <c r="C28" s="42">
        <v>1.67</v>
      </c>
    </row>
    <row r="29" spans="1:3" ht="15" x14ac:dyDescent="0.25">
      <c r="A29" s="55" t="s">
        <v>221</v>
      </c>
      <c r="B29" s="45">
        <v>24.402539999999998</v>
      </c>
      <c r="C29" s="42">
        <v>1.38</v>
      </c>
    </row>
    <row r="30" spans="1:3" ht="15.75" thickBot="1" x14ac:dyDescent="0.3">
      <c r="A30" s="55" t="s">
        <v>166</v>
      </c>
      <c r="B30" s="45">
        <v>22.103750000000002</v>
      </c>
      <c r="C30" s="42">
        <v>1.25</v>
      </c>
    </row>
    <row r="31" spans="1:3" ht="15.75" thickBot="1" x14ac:dyDescent="0.3">
      <c r="A31" s="43" t="s">
        <v>15</v>
      </c>
      <c r="B31" s="51">
        <f>SUM(B21:B30)</f>
        <v>502.90452000000005</v>
      </c>
      <c r="C31" s="44">
        <f>SUM(C21:C30)</f>
        <v>28.439999999999994</v>
      </c>
    </row>
    <row r="32" spans="1:3" ht="15.75" thickBot="1" x14ac:dyDescent="0.3">
      <c r="A32" s="41"/>
      <c r="B32" s="45"/>
      <c r="C32" s="42"/>
    </row>
    <row r="33" spans="1:3" ht="15.75" thickBot="1" x14ac:dyDescent="0.3">
      <c r="A33" s="43" t="s">
        <v>16</v>
      </c>
      <c r="B33" s="51">
        <v>58.88439000000001</v>
      </c>
      <c r="C33" s="44">
        <v>3.3300000000000005</v>
      </c>
    </row>
    <row r="34" spans="1:3" ht="15.75" thickBot="1" x14ac:dyDescent="0.3">
      <c r="A34" s="43"/>
      <c r="B34" s="51"/>
      <c r="C34" s="44"/>
    </row>
    <row r="35" spans="1:3" ht="15.75" thickBot="1" x14ac:dyDescent="0.3">
      <c r="A35" s="43" t="s">
        <v>17</v>
      </c>
      <c r="B35" s="51">
        <v>99.201630000000492</v>
      </c>
      <c r="C35" s="44">
        <v>5.6100000000000279</v>
      </c>
    </row>
    <row r="36" spans="1:3" ht="15.75" thickBot="1" x14ac:dyDescent="0.3">
      <c r="A36" s="41"/>
      <c r="B36" s="45"/>
      <c r="C36" s="42"/>
    </row>
    <row r="37" spans="1:3" ht="15.75" thickBot="1" x14ac:dyDescent="0.3">
      <c r="A37" s="48" t="s">
        <v>18</v>
      </c>
      <c r="B37" s="56">
        <f>SUM(B18,B31,B35,B33)</f>
        <v>1768.3000000000006</v>
      </c>
      <c r="C37" s="50">
        <f>SUM(C18,C31,C35,C33)</f>
        <v>100</v>
      </c>
    </row>
  </sheetData>
  <mergeCells count="2">
    <mergeCell ref="A5:A6"/>
    <mergeCell ref="C5:C6"/>
  </mergeCells>
  <hyperlinks>
    <hyperlink ref="A1" location="Index!A1" display="Back to Links" xr:uid="{3C0C3485-EABB-431A-9038-5972FFFCA768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1EFC-C9D7-42EA-8739-9E796CDFF121}">
  <sheetPr codeName="Sheet11"/>
  <dimension ref="A1:G43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49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282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  <c r="E6" s="24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7</v>
      </c>
      <c r="B8" s="45">
        <v>0.24960000000000004</v>
      </c>
      <c r="C8" s="42">
        <v>1.6</v>
      </c>
    </row>
    <row r="9" spans="1:7" ht="15" x14ac:dyDescent="0.25">
      <c r="A9" s="41" t="s">
        <v>8</v>
      </c>
      <c r="B9" s="45">
        <v>0.21528</v>
      </c>
      <c r="C9" s="42">
        <v>1.38</v>
      </c>
    </row>
    <row r="10" spans="1:7" ht="15" x14ac:dyDescent="0.25">
      <c r="A10" s="41" t="s">
        <v>29</v>
      </c>
      <c r="B10" s="45">
        <v>0.18408000000000002</v>
      </c>
      <c r="C10" s="42">
        <v>1.18</v>
      </c>
    </row>
    <row r="11" spans="1:7" ht="15" x14ac:dyDescent="0.25">
      <c r="A11" s="41" t="s">
        <v>9</v>
      </c>
      <c r="B11" s="45">
        <v>0.13884000000000002</v>
      </c>
      <c r="C11" s="42">
        <v>0.89</v>
      </c>
    </row>
    <row r="12" spans="1:7" ht="15" x14ac:dyDescent="0.25">
      <c r="A12" s="41" t="s">
        <v>13</v>
      </c>
      <c r="B12" s="45">
        <v>0.12480000000000002</v>
      </c>
      <c r="C12" s="42">
        <v>0.8</v>
      </c>
    </row>
    <row r="13" spans="1:7" ht="15" x14ac:dyDescent="0.25">
      <c r="A13" s="41" t="s">
        <v>24</v>
      </c>
      <c r="B13" s="45">
        <v>0.10608000000000001</v>
      </c>
      <c r="C13" s="42">
        <v>0.67999999999999994</v>
      </c>
    </row>
    <row r="14" spans="1:7" ht="15" x14ac:dyDescent="0.25">
      <c r="A14" s="41" t="s">
        <v>11</v>
      </c>
      <c r="B14" s="45">
        <v>0.10608000000000001</v>
      </c>
      <c r="C14" s="42">
        <v>0.67999999999999994</v>
      </c>
    </row>
    <row r="15" spans="1:7" ht="15" x14ac:dyDescent="0.25">
      <c r="A15" s="41" t="s">
        <v>92</v>
      </c>
      <c r="B15" s="45">
        <v>8.1120000000000025E-2</v>
      </c>
      <c r="C15" s="42">
        <v>0.52</v>
      </c>
    </row>
    <row r="16" spans="1:7" ht="15" x14ac:dyDescent="0.25">
      <c r="A16" s="41" t="s">
        <v>12</v>
      </c>
      <c r="B16" s="45">
        <v>7.4880000000000002E-2</v>
      </c>
      <c r="C16" s="42">
        <v>0.48</v>
      </c>
    </row>
    <row r="17" spans="1:3" ht="15" x14ac:dyDescent="0.25">
      <c r="A17" s="41" t="s">
        <v>10</v>
      </c>
      <c r="B17" s="45">
        <v>7.4880000000000002E-2</v>
      </c>
      <c r="C17" s="42">
        <v>0.48</v>
      </c>
    </row>
    <row r="18" spans="1:3" ht="15" x14ac:dyDescent="0.25">
      <c r="A18" s="43" t="s">
        <v>15</v>
      </c>
      <c r="B18" s="51">
        <f>SUM(B8:B17)</f>
        <v>1.3556400000000002</v>
      </c>
      <c r="C18" s="44">
        <f>SUM(C8:C17)</f>
        <v>8.69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137</v>
      </c>
      <c r="B20" s="45"/>
      <c r="C20" s="42"/>
    </row>
    <row r="21" spans="1:3" ht="15" x14ac:dyDescent="0.25">
      <c r="A21" s="55" t="s">
        <v>219</v>
      </c>
      <c r="B21" s="45">
        <v>4.299360000000001</v>
      </c>
      <c r="C21" s="42">
        <v>27.560000000000002</v>
      </c>
    </row>
    <row r="22" spans="1:3" ht="15" x14ac:dyDescent="0.25">
      <c r="A22" s="55" t="s">
        <v>264</v>
      </c>
      <c r="B22" s="45">
        <v>2.2401600000000004</v>
      </c>
      <c r="C22" s="42">
        <v>14.360000000000001</v>
      </c>
    </row>
    <row r="23" spans="1:3" ht="15" x14ac:dyDescent="0.25">
      <c r="A23" s="55" t="s">
        <v>22</v>
      </c>
      <c r="B23" s="45">
        <v>1.3852800000000003</v>
      </c>
      <c r="C23" s="42">
        <v>8.8800000000000008</v>
      </c>
    </row>
    <row r="24" spans="1:3" ht="15" x14ac:dyDescent="0.25">
      <c r="A24" s="55" t="s">
        <v>244</v>
      </c>
      <c r="B24" s="45">
        <v>0.9781200000000001</v>
      </c>
      <c r="C24" s="42">
        <v>6.2700000000000005</v>
      </c>
    </row>
    <row r="25" spans="1:3" ht="15" x14ac:dyDescent="0.25">
      <c r="A25" s="55" t="s">
        <v>28</v>
      </c>
      <c r="B25" s="45">
        <v>0.83148000000000011</v>
      </c>
      <c r="C25" s="42">
        <v>5.33</v>
      </c>
    </row>
    <row r="26" spans="1:3" ht="15" x14ac:dyDescent="0.25">
      <c r="A26" s="55" t="s">
        <v>26</v>
      </c>
      <c r="B26" s="45">
        <v>0.79092000000000018</v>
      </c>
      <c r="C26" s="42">
        <v>5.07</v>
      </c>
    </row>
    <row r="27" spans="1:3" ht="15" x14ac:dyDescent="0.25">
      <c r="A27" s="55" t="s">
        <v>149</v>
      </c>
      <c r="B27" s="45">
        <v>0.30420000000000003</v>
      </c>
      <c r="C27" s="42">
        <v>1.95</v>
      </c>
    </row>
    <row r="28" spans="1:3" ht="15" x14ac:dyDescent="0.25">
      <c r="A28" s="55" t="s">
        <v>248</v>
      </c>
      <c r="B28" s="45">
        <v>0.25428000000000001</v>
      </c>
      <c r="C28" s="42">
        <v>1.63</v>
      </c>
    </row>
    <row r="29" spans="1:3" ht="15" x14ac:dyDescent="0.25">
      <c r="A29" s="55" t="s">
        <v>112</v>
      </c>
      <c r="B29" s="45">
        <v>7.4880000000000002E-2</v>
      </c>
      <c r="C29" s="42">
        <v>0.48</v>
      </c>
    </row>
    <row r="30" spans="1:3" ht="15.75" thickBot="1" x14ac:dyDescent="0.3">
      <c r="A30" s="55" t="s">
        <v>280</v>
      </c>
      <c r="B30" s="45">
        <v>6.8640000000000007E-2</v>
      </c>
      <c r="C30" s="42">
        <v>0.44</v>
      </c>
    </row>
    <row r="31" spans="1:3" ht="15.75" thickBot="1" x14ac:dyDescent="0.3">
      <c r="A31" s="43" t="s">
        <v>15</v>
      </c>
      <c r="B31" s="51">
        <f>SUM(B21:B30)</f>
        <v>11.227320000000002</v>
      </c>
      <c r="C31" s="44">
        <f>SUM(C21:C30)</f>
        <v>71.97</v>
      </c>
    </row>
    <row r="32" spans="1:3" ht="15" x14ac:dyDescent="0.25">
      <c r="A32" s="41"/>
      <c r="B32" s="45"/>
      <c r="C32" s="42"/>
    </row>
    <row r="33" spans="1:3" ht="15" x14ac:dyDescent="0.25">
      <c r="A33" s="43" t="s">
        <v>138</v>
      </c>
      <c r="B33" s="45"/>
      <c r="C33" s="42"/>
    </row>
    <row r="34" spans="1:3" ht="15" x14ac:dyDescent="0.25">
      <c r="A34" s="55" t="s">
        <v>139</v>
      </c>
      <c r="B34" s="45">
        <v>0.69576000000000005</v>
      </c>
      <c r="C34" s="42">
        <v>4.46</v>
      </c>
    </row>
    <row r="35" spans="1:3" ht="15" x14ac:dyDescent="0.25">
      <c r="A35" s="55" t="s">
        <v>281</v>
      </c>
      <c r="B35" s="45">
        <v>0.30108000000000001</v>
      </c>
      <c r="C35" s="42">
        <v>1.9300000000000002</v>
      </c>
    </row>
    <row r="36" spans="1:3" ht="15.75" thickBot="1" x14ac:dyDescent="0.3">
      <c r="A36" s="55" t="s">
        <v>169</v>
      </c>
      <c r="B36" s="45">
        <v>0.1014</v>
      </c>
      <c r="C36" s="42">
        <v>0.65</v>
      </c>
    </row>
    <row r="37" spans="1:3" ht="15.75" thickBot="1" x14ac:dyDescent="0.3">
      <c r="A37" s="43" t="s">
        <v>15</v>
      </c>
      <c r="B37" s="51">
        <f>SUM(B34:B36)</f>
        <v>1.0982400000000001</v>
      </c>
      <c r="C37" s="44">
        <f>SUM(C34:C36)</f>
        <v>7.0400000000000009</v>
      </c>
    </row>
    <row r="38" spans="1:3" ht="15" x14ac:dyDescent="0.25">
      <c r="A38" s="41"/>
      <c r="B38" s="45"/>
      <c r="C38" s="42"/>
    </row>
    <row r="39" spans="1:3" ht="15" x14ac:dyDescent="0.25">
      <c r="A39" s="43" t="s">
        <v>16</v>
      </c>
      <c r="B39" s="51">
        <v>1.1840400000000002</v>
      </c>
      <c r="C39" s="44">
        <v>7.59</v>
      </c>
    </row>
    <row r="40" spans="1:3" ht="15" x14ac:dyDescent="0.25">
      <c r="A40" s="41"/>
      <c r="B40" s="45"/>
      <c r="C40" s="42"/>
    </row>
    <row r="41" spans="1:3" ht="15" x14ac:dyDescent="0.25">
      <c r="A41" s="43" t="s">
        <v>17</v>
      </c>
      <c r="B41" s="51">
        <v>0.73475999999999919</v>
      </c>
      <c r="C41" s="44">
        <v>4.7099999999999937</v>
      </c>
    </row>
    <row r="42" spans="1:3" ht="15" x14ac:dyDescent="0.25">
      <c r="A42" s="41"/>
      <c r="B42" s="45"/>
      <c r="C42" s="42"/>
    </row>
    <row r="43" spans="1:3" ht="15" x14ac:dyDescent="0.25">
      <c r="A43" s="48" t="s">
        <v>18</v>
      </c>
      <c r="B43" s="56">
        <f>SUM(B18,B31,B37,B39,B41)</f>
        <v>15.600000000000003</v>
      </c>
      <c r="C43" s="50">
        <f>SUM(C18,C31,C37,C39,C41)</f>
        <v>100</v>
      </c>
    </row>
  </sheetData>
  <mergeCells count="2">
    <mergeCell ref="A5:A6"/>
    <mergeCell ref="C5:C6"/>
  </mergeCells>
  <hyperlinks>
    <hyperlink ref="A1" location="Index!A1" display="Back to Links" xr:uid="{DBECFCE5-7D7D-4895-82A6-F028ABFB2AE0}"/>
  </hyperlinks>
  <pageMargins left="0.7" right="0.7" top="0.75" bottom="0.75" header="0.3" footer="0.3"/>
  <pageSetup orientation="portrait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7482-ECDC-4A60-8B63-5CE13F24DB9A}">
  <sheetPr codeName="Sheet13"/>
  <dimension ref="A1:G37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thickBot="1" x14ac:dyDescent="0.25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40" t="s">
        <v>50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283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  <c r="E6" s="24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7</v>
      </c>
      <c r="B8" s="45">
        <v>2.6460000000000004E-2</v>
      </c>
      <c r="C8" s="42">
        <v>0.54</v>
      </c>
    </row>
    <row r="9" spans="1:7" ht="15" x14ac:dyDescent="0.25">
      <c r="A9" s="41" t="s">
        <v>8</v>
      </c>
      <c r="B9" s="45">
        <v>2.2540000000000001E-2</v>
      </c>
      <c r="C9" s="42">
        <v>0.45999999999999996</v>
      </c>
    </row>
    <row r="10" spans="1:7" ht="15" x14ac:dyDescent="0.25">
      <c r="A10" s="41" t="s">
        <v>29</v>
      </c>
      <c r="B10" s="45">
        <v>1.813E-2</v>
      </c>
      <c r="C10" s="42">
        <v>0.37</v>
      </c>
    </row>
    <row r="11" spans="1:7" ht="15" x14ac:dyDescent="0.25">
      <c r="A11" s="41" t="s">
        <v>9</v>
      </c>
      <c r="B11" s="45">
        <v>1.421E-2</v>
      </c>
      <c r="C11" s="42">
        <v>0.28999999999999998</v>
      </c>
    </row>
    <row r="12" spans="1:7" ht="15" x14ac:dyDescent="0.25">
      <c r="A12" s="41" t="s">
        <v>13</v>
      </c>
      <c r="B12" s="45">
        <v>1.2740000000000003E-2</v>
      </c>
      <c r="C12" s="42">
        <v>0.26</v>
      </c>
    </row>
    <row r="13" spans="1:7" ht="15" x14ac:dyDescent="0.25">
      <c r="A13" s="41" t="s">
        <v>24</v>
      </c>
      <c r="B13" s="45">
        <v>1.0780000000000001E-2</v>
      </c>
      <c r="C13" s="42">
        <v>0.22</v>
      </c>
    </row>
    <row r="14" spans="1:7" ht="15" x14ac:dyDescent="0.25">
      <c r="A14" s="41" t="s">
        <v>11</v>
      </c>
      <c r="B14" s="45">
        <v>9.3100000000000006E-3</v>
      </c>
      <c r="C14" s="42">
        <v>0.19</v>
      </c>
    </row>
    <row r="15" spans="1:7" ht="15" x14ac:dyDescent="0.25">
      <c r="A15" s="41" t="s">
        <v>92</v>
      </c>
      <c r="B15" s="45">
        <v>8.3299999999999989E-3</v>
      </c>
      <c r="C15" s="42">
        <v>0.16999999999999998</v>
      </c>
    </row>
    <row r="16" spans="1:7" ht="15" x14ac:dyDescent="0.25">
      <c r="A16" s="41" t="s">
        <v>10</v>
      </c>
      <c r="B16" s="45">
        <v>7.8399999999999997E-3</v>
      </c>
      <c r="C16" s="42">
        <v>0.16</v>
      </c>
    </row>
    <row r="17" spans="1:3" ht="15" x14ac:dyDescent="0.25">
      <c r="A17" s="41" t="s">
        <v>12</v>
      </c>
      <c r="B17" s="45">
        <v>6.8599999999999998E-3</v>
      </c>
      <c r="C17" s="42">
        <v>0.13999999999999999</v>
      </c>
    </row>
    <row r="18" spans="1:3" ht="15" x14ac:dyDescent="0.25">
      <c r="A18" s="43" t="s">
        <v>15</v>
      </c>
      <c r="B18" s="51">
        <f>SUM(B8:B17)</f>
        <v>0.13720000000000002</v>
      </c>
      <c r="C18" s="44">
        <f>SUM(C8:C17)</f>
        <v>2.8000000000000003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137</v>
      </c>
      <c r="B20" s="45"/>
      <c r="C20" s="42"/>
    </row>
    <row r="21" spans="1:3" ht="15" x14ac:dyDescent="0.25">
      <c r="A21" s="41" t="s">
        <v>219</v>
      </c>
      <c r="B21" s="45">
        <v>2.01586</v>
      </c>
      <c r="C21" s="42">
        <v>41.14</v>
      </c>
    </row>
    <row r="22" spans="1:3" ht="15" x14ac:dyDescent="0.25">
      <c r="A22" s="41" t="s">
        <v>264</v>
      </c>
      <c r="B22" s="45">
        <v>1.01675</v>
      </c>
      <c r="C22" s="42">
        <v>20.75</v>
      </c>
    </row>
    <row r="23" spans="1:3" ht="15" x14ac:dyDescent="0.25">
      <c r="A23" s="41" t="s">
        <v>22</v>
      </c>
      <c r="B23" s="45">
        <v>0.37240000000000001</v>
      </c>
      <c r="C23" s="42">
        <v>7.6</v>
      </c>
    </row>
    <row r="24" spans="1:3" ht="15" x14ac:dyDescent="0.25">
      <c r="A24" s="41" t="s">
        <v>26</v>
      </c>
      <c r="B24" s="45">
        <v>0.31899000000000005</v>
      </c>
      <c r="C24" s="42">
        <v>6.5100000000000007</v>
      </c>
    </row>
    <row r="25" spans="1:3" ht="15" x14ac:dyDescent="0.25">
      <c r="A25" s="41" t="s">
        <v>28</v>
      </c>
      <c r="B25" s="45">
        <v>0.27979000000000004</v>
      </c>
      <c r="C25" s="42">
        <v>5.71</v>
      </c>
    </row>
    <row r="26" spans="1:3" ht="15" x14ac:dyDescent="0.25">
      <c r="A26" s="41" t="s">
        <v>37</v>
      </c>
      <c r="B26" s="45">
        <v>0.21364000000000005</v>
      </c>
      <c r="C26" s="42">
        <v>4.3600000000000003</v>
      </c>
    </row>
    <row r="27" spans="1:3" ht="15" x14ac:dyDescent="0.25">
      <c r="A27" s="41" t="s">
        <v>97</v>
      </c>
      <c r="B27" s="45">
        <v>0.20286000000000001</v>
      </c>
      <c r="C27" s="42">
        <v>4.1399999999999997</v>
      </c>
    </row>
    <row r="28" spans="1:3" ht="15" x14ac:dyDescent="0.25">
      <c r="A28" s="41" t="s">
        <v>112</v>
      </c>
      <c r="B28" s="45">
        <v>3.7730000000000007E-2</v>
      </c>
      <c r="C28" s="42">
        <v>0.77</v>
      </c>
    </row>
    <row r="29" spans="1:3" ht="15" x14ac:dyDescent="0.25">
      <c r="A29" s="41" t="s">
        <v>224</v>
      </c>
      <c r="B29" s="45">
        <v>1.6170000000000004E-2</v>
      </c>
      <c r="C29" s="42">
        <v>0.33</v>
      </c>
    </row>
    <row r="30" spans="1:3" ht="15" x14ac:dyDescent="0.25">
      <c r="A30" s="41" t="s">
        <v>203</v>
      </c>
      <c r="B30" s="45">
        <v>1.372E-2</v>
      </c>
      <c r="C30" s="42">
        <v>0.27999999999999997</v>
      </c>
    </row>
    <row r="31" spans="1:3" ht="15" x14ac:dyDescent="0.25">
      <c r="A31" s="43" t="s">
        <v>15</v>
      </c>
      <c r="B31" s="51">
        <f>SUM(B21:B30)</f>
        <v>4.4879099999999994</v>
      </c>
      <c r="C31" s="44">
        <f>SUM(C21:C30)</f>
        <v>91.589999999999989</v>
      </c>
    </row>
    <row r="32" spans="1:3" ht="15" x14ac:dyDescent="0.25">
      <c r="A32" s="41"/>
      <c r="B32" s="45"/>
      <c r="C32" s="42"/>
    </row>
    <row r="33" spans="1:5" ht="15" x14ac:dyDescent="0.25">
      <c r="A33" s="43" t="s">
        <v>135</v>
      </c>
      <c r="B33" s="51">
        <v>0.19893999999999998</v>
      </c>
      <c r="C33" s="44">
        <v>4.0599999999999996</v>
      </c>
      <c r="D33" s="9"/>
      <c r="E33" s="9"/>
    </row>
    <row r="34" spans="1:5" ht="15" x14ac:dyDescent="0.25">
      <c r="A34" s="41"/>
      <c r="B34" s="45"/>
      <c r="C34" s="42"/>
    </row>
    <row r="35" spans="1:5" ht="15" x14ac:dyDescent="0.25">
      <c r="A35" s="43" t="s">
        <v>17</v>
      </c>
      <c r="B35" s="51">
        <v>7.5950000000000573E-2</v>
      </c>
      <c r="C35" s="44">
        <v>1.5500000000000114</v>
      </c>
    </row>
    <row r="36" spans="1:5" ht="15" x14ac:dyDescent="0.25">
      <c r="A36" s="41"/>
      <c r="B36" s="45"/>
      <c r="C36" s="42"/>
    </row>
    <row r="37" spans="1:5" ht="15" x14ac:dyDescent="0.25">
      <c r="A37" s="48" t="s">
        <v>18</v>
      </c>
      <c r="B37" s="56">
        <f>SUM(B18,B31,B33,B35)</f>
        <v>4.9000000000000004</v>
      </c>
      <c r="C37" s="56">
        <f>SUM(C18,C31,C33,C35)</f>
        <v>100</v>
      </c>
    </row>
  </sheetData>
  <mergeCells count="2">
    <mergeCell ref="A5:A6"/>
    <mergeCell ref="C5:C6"/>
  </mergeCells>
  <hyperlinks>
    <hyperlink ref="A1" location="Index!A1" display="Back to Links" xr:uid="{955F66AA-C04D-4ED4-9245-50061AF9F67A}"/>
  </hyperlinks>
  <pageMargins left="0.7" right="0.7" top="0.75" bottom="0.75" header="0.3" footer="0.3"/>
  <pageSetup orientation="portrait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BF88-A8F2-4717-B900-4EFFFF4481D8}">
  <sheetPr codeName="Sheet15"/>
  <dimension ref="A1:G2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82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284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7"/>
      <c r="E6" s="22"/>
    </row>
    <row r="7" spans="1:7" ht="13.5" customHeight="1" thickTop="1" x14ac:dyDescent="0.25">
      <c r="A7" s="43" t="s">
        <v>19</v>
      </c>
      <c r="B7" s="47"/>
      <c r="C7" s="42"/>
    </row>
    <row r="8" spans="1:7" ht="15" x14ac:dyDescent="0.25">
      <c r="A8" s="41" t="s">
        <v>7</v>
      </c>
      <c r="B8" s="45">
        <v>1910.1342400000003</v>
      </c>
      <c r="C8" s="42">
        <v>5.74</v>
      </c>
    </row>
    <row r="9" spans="1:7" ht="15" x14ac:dyDescent="0.25">
      <c r="A9" s="41" t="s">
        <v>8</v>
      </c>
      <c r="B9" s="45">
        <v>1673.86328</v>
      </c>
      <c r="C9" s="42">
        <v>5.0299999999999994</v>
      </c>
    </row>
    <row r="10" spans="1:7" ht="15" x14ac:dyDescent="0.25">
      <c r="A10" s="41" t="s">
        <v>9</v>
      </c>
      <c r="B10" s="45">
        <v>1570.7027200000002</v>
      </c>
      <c r="C10" s="42">
        <v>4.72</v>
      </c>
    </row>
    <row r="11" spans="1:7" ht="15" x14ac:dyDescent="0.25">
      <c r="A11" s="41" t="s">
        <v>13</v>
      </c>
      <c r="B11" s="45">
        <v>1234.5989600000003</v>
      </c>
      <c r="C11" s="42">
        <v>3.71</v>
      </c>
    </row>
    <row r="12" spans="1:7" ht="15" x14ac:dyDescent="0.25">
      <c r="A12" s="41" t="s">
        <v>10</v>
      </c>
      <c r="B12" s="45">
        <v>1151.4049600000001</v>
      </c>
      <c r="C12" s="42">
        <v>3.46</v>
      </c>
    </row>
    <row r="13" spans="1:7" ht="15" x14ac:dyDescent="0.25">
      <c r="A13" s="41" t="s">
        <v>12</v>
      </c>
      <c r="B13" s="45">
        <v>885.18416000000013</v>
      </c>
      <c r="C13" s="42">
        <v>2.6599999999999997</v>
      </c>
    </row>
    <row r="14" spans="1:7" ht="15" x14ac:dyDescent="0.25">
      <c r="A14" s="41" t="s">
        <v>25</v>
      </c>
      <c r="B14" s="45">
        <v>868.54536000000019</v>
      </c>
      <c r="C14" s="42">
        <v>2.6100000000000003</v>
      </c>
    </row>
    <row r="15" spans="1:7" ht="15" x14ac:dyDescent="0.25">
      <c r="A15" s="41" t="s">
        <v>95</v>
      </c>
      <c r="B15" s="45">
        <v>811.9734400000001</v>
      </c>
      <c r="C15" s="42">
        <v>2.44</v>
      </c>
    </row>
    <row r="16" spans="1:7" ht="15" x14ac:dyDescent="0.25">
      <c r="A16" s="41" t="s">
        <v>36</v>
      </c>
      <c r="B16" s="45">
        <v>735.43496000000016</v>
      </c>
      <c r="C16" s="42">
        <v>2.21</v>
      </c>
    </row>
    <row r="17" spans="1:3" ht="15.75" thickBot="1" x14ac:dyDescent="0.3">
      <c r="A17" s="41" t="s">
        <v>92</v>
      </c>
      <c r="B17" s="45">
        <v>728.77944000000014</v>
      </c>
      <c r="C17" s="42">
        <v>2.19</v>
      </c>
    </row>
    <row r="18" spans="1:3" ht="15.75" thickBot="1" x14ac:dyDescent="0.3">
      <c r="A18" s="43" t="s">
        <v>15</v>
      </c>
      <c r="B18" s="46">
        <f>SUM(B8:B17)</f>
        <v>11570.621520000001</v>
      </c>
      <c r="C18" s="44">
        <f>SUM(C8:C17)</f>
        <v>34.769999999999996</v>
      </c>
    </row>
    <row r="19" spans="1:3" ht="15" x14ac:dyDescent="0.25">
      <c r="A19" s="41"/>
      <c r="B19" s="47"/>
      <c r="C19" s="42"/>
    </row>
    <row r="20" spans="1:3" ht="15" x14ac:dyDescent="0.25">
      <c r="A20" s="43" t="s">
        <v>16</v>
      </c>
      <c r="B20" s="51">
        <v>1084.8497600000001</v>
      </c>
      <c r="C20" s="44">
        <v>3.26</v>
      </c>
    </row>
    <row r="21" spans="1:3" ht="15.75" thickBot="1" x14ac:dyDescent="0.3">
      <c r="A21" s="41"/>
      <c r="B21" s="47"/>
      <c r="C21" s="42"/>
    </row>
    <row r="22" spans="1:3" ht="15.75" thickBot="1" x14ac:dyDescent="0.3">
      <c r="A22" s="43" t="s">
        <v>17</v>
      </c>
      <c r="B22" s="51">
        <v>20622.128720000008</v>
      </c>
      <c r="C22" s="44">
        <v>61.970000000000006</v>
      </c>
    </row>
    <row r="23" spans="1:3" ht="15.75" thickBot="1" x14ac:dyDescent="0.3">
      <c r="A23" s="41"/>
      <c r="B23" s="47"/>
      <c r="C23" s="42"/>
    </row>
    <row r="24" spans="1:3" ht="15" x14ac:dyDescent="0.25">
      <c r="A24" s="48" t="s">
        <v>18</v>
      </c>
      <c r="B24" s="49">
        <f>SUM(B18,B20,B22)</f>
        <v>33277.600000000006</v>
      </c>
      <c r="C24" s="50">
        <f>SUM(C18,C20,C22)</f>
        <v>100</v>
      </c>
    </row>
  </sheetData>
  <mergeCells count="2">
    <mergeCell ref="A5:A6"/>
    <mergeCell ref="C5:C6"/>
  </mergeCells>
  <hyperlinks>
    <hyperlink ref="A1" location="Index!A1" display="Back to Links" xr:uid="{43DF63A5-6C96-4390-A199-D0991800A945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4D09-4480-4456-BB79-5C3656E30DB2}">
  <sheetPr codeName="Sheet16"/>
  <dimension ref="A1:G9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83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285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7"/>
      <c r="E6" s="23"/>
    </row>
    <row r="7" spans="1:7" ht="13.5" customHeight="1" thickTop="1" x14ac:dyDescent="0.25">
      <c r="A7" s="43" t="s">
        <v>16</v>
      </c>
      <c r="B7" s="51">
        <v>1085.5</v>
      </c>
      <c r="C7" s="44">
        <v>100</v>
      </c>
    </row>
    <row r="8" spans="1:7" ht="15" x14ac:dyDescent="0.25">
      <c r="A8" s="41"/>
      <c r="B8" s="47"/>
      <c r="C8" s="42"/>
    </row>
    <row r="9" spans="1:7" ht="15" x14ac:dyDescent="0.25">
      <c r="A9" s="48" t="s">
        <v>18</v>
      </c>
      <c r="B9" s="56">
        <f>SUM(B7)</f>
        <v>1085.5</v>
      </c>
      <c r="C9" s="50">
        <f>SUM(C7)</f>
        <v>100</v>
      </c>
    </row>
  </sheetData>
  <mergeCells count="2">
    <mergeCell ref="A5:A6"/>
    <mergeCell ref="C5:C6"/>
  </mergeCells>
  <hyperlinks>
    <hyperlink ref="A1" location="Index!A1" display="Back to Links" xr:uid="{5928E721-CCC0-4125-88A7-A7F0CFC069FD}"/>
  </hyperlinks>
  <pageMargins left="0.7" right="0.7" top="0.75" bottom="0.75" header="0.3" footer="0.3"/>
  <pageSetup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FB67-58CD-4460-8AA3-50440D4A10F9}">
  <dimension ref="A1:G2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61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53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286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  <c r="E5" s="26"/>
    </row>
    <row r="6" spans="1:7" ht="16.5" customHeight="1" thickTop="1" thickBot="1" x14ac:dyDescent="0.25">
      <c r="A6" s="64"/>
      <c r="B6" s="10" t="s">
        <v>6</v>
      </c>
      <c r="C6" s="66"/>
      <c r="E6" s="24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7</v>
      </c>
      <c r="B8" s="45">
        <v>436.78887000000003</v>
      </c>
      <c r="C8" s="42">
        <v>7.2700000000000005</v>
      </c>
    </row>
    <row r="9" spans="1:7" ht="15" x14ac:dyDescent="0.25">
      <c r="A9" s="41" t="s">
        <v>8</v>
      </c>
      <c r="B9" s="45">
        <v>349.67142000000001</v>
      </c>
      <c r="C9" s="42">
        <v>5.82</v>
      </c>
    </row>
    <row r="10" spans="1:7" ht="15" x14ac:dyDescent="0.25">
      <c r="A10" s="41" t="s">
        <v>11</v>
      </c>
      <c r="B10" s="45">
        <v>311.82039000000003</v>
      </c>
      <c r="C10" s="42">
        <v>5.19</v>
      </c>
    </row>
    <row r="11" spans="1:7" ht="15" x14ac:dyDescent="0.25">
      <c r="A11" s="41" t="s">
        <v>25</v>
      </c>
      <c r="B11" s="45">
        <v>302.20742999999993</v>
      </c>
      <c r="C11" s="42">
        <v>5.0299999999999994</v>
      </c>
    </row>
    <row r="12" spans="1:7" ht="15" x14ac:dyDescent="0.25">
      <c r="A12" s="41" t="s">
        <v>95</v>
      </c>
      <c r="B12" s="45">
        <v>254.14262999999994</v>
      </c>
      <c r="C12" s="42">
        <v>4.2299999999999995</v>
      </c>
    </row>
    <row r="13" spans="1:7" ht="15" x14ac:dyDescent="0.25">
      <c r="A13" s="41" t="s">
        <v>12</v>
      </c>
      <c r="B13" s="45">
        <v>245.73128999999997</v>
      </c>
      <c r="C13" s="42">
        <v>4.09</v>
      </c>
    </row>
    <row r="14" spans="1:7" ht="15" x14ac:dyDescent="0.25">
      <c r="A14" s="41" t="s">
        <v>210</v>
      </c>
      <c r="B14" s="45">
        <v>192.86000999999996</v>
      </c>
      <c r="C14" s="42">
        <v>3.2099999999999995</v>
      </c>
    </row>
    <row r="15" spans="1:7" ht="15" x14ac:dyDescent="0.25">
      <c r="A15" s="41" t="s">
        <v>98</v>
      </c>
      <c r="B15" s="45">
        <v>183.84786</v>
      </c>
      <c r="C15" s="42">
        <v>3.06</v>
      </c>
    </row>
    <row r="16" spans="1:7" ht="15" x14ac:dyDescent="0.25">
      <c r="A16" s="41" t="s">
        <v>38</v>
      </c>
      <c r="B16" s="45">
        <v>156.2106</v>
      </c>
      <c r="C16" s="42">
        <v>2.6</v>
      </c>
    </row>
    <row r="17" spans="1:3" ht="15" x14ac:dyDescent="0.25">
      <c r="A17" s="41" t="s">
        <v>10</v>
      </c>
      <c r="B17" s="45">
        <v>151.40411999999998</v>
      </c>
      <c r="C17" s="42">
        <v>2.52</v>
      </c>
    </row>
    <row r="18" spans="1:3" ht="15" x14ac:dyDescent="0.25">
      <c r="A18" s="43" t="s">
        <v>15</v>
      </c>
      <c r="B18" s="51">
        <f>SUM(B8:B17)</f>
        <v>2584.68462</v>
      </c>
      <c r="C18" s="44">
        <f>SUM(C8:C17)</f>
        <v>43.02000000000001</v>
      </c>
    </row>
    <row r="19" spans="1:3" ht="15" x14ac:dyDescent="0.25">
      <c r="A19" s="41"/>
      <c r="B19" s="45"/>
      <c r="C19" s="42"/>
    </row>
    <row r="20" spans="1:3" ht="15" x14ac:dyDescent="0.25">
      <c r="A20" s="43" t="s">
        <v>16</v>
      </c>
      <c r="B20" s="51">
        <v>275.17097999999999</v>
      </c>
      <c r="C20" s="44">
        <v>4.58</v>
      </c>
    </row>
    <row r="21" spans="1:3" ht="15" x14ac:dyDescent="0.25">
      <c r="A21" s="41"/>
      <c r="B21" s="45"/>
      <c r="C21" s="42"/>
    </row>
    <row r="22" spans="1:3" ht="15" x14ac:dyDescent="0.25">
      <c r="A22" s="43" t="s">
        <v>17</v>
      </c>
      <c r="B22" s="51">
        <v>3148.2443999999996</v>
      </c>
      <c r="C22" s="44">
        <v>52.399999999999991</v>
      </c>
    </row>
    <row r="23" spans="1:3" ht="15" x14ac:dyDescent="0.25">
      <c r="A23" s="41"/>
      <c r="B23" s="45"/>
      <c r="C23" s="42"/>
    </row>
    <row r="24" spans="1:3" ht="15" x14ac:dyDescent="0.25">
      <c r="A24" s="48" t="s">
        <v>18</v>
      </c>
      <c r="B24" s="56">
        <f>SUM(B18,B20,B22)</f>
        <v>6008.0999999999995</v>
      </c>
      <c r="C24" s="50">
        <f>SUM(C18,C20,C22)</f>
        <v>100</v>
      </c>
    </row>
  </sheetData>
  <mergeCells count="2">
    <mergeCell ref="A5:A6"/>
    <mergeCell ref="C5:C6"/>
  </mergeCells>
  <hyperlinks>
    <hyperlink ref="A1" location="Index!A1" display="Back to Links" xr:uid="{425D5341-2E94-4835-8F10-09F6E97D059B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BC21-516C-490D-ACD9-81C598DAA079}">
  <dimension ref="A1:G2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69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288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  <c r="E6" s="26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141</v>
      </c>
      <c r="B8" s="45">
        <v>220.7731</v>
      </c>
      <c r="C8" s="42">
        <v>4.7</v>
      </c>
    </row>
    <row r="9" spans="1:7" ht="15" x14ac:dyDescent="0.25">
      <c r="A9" s="41" t="s">
        <v>31</v>
      </c>
      <c r="B9" s="45">
        <v>217.01526000000001</v>
      </c>
      <c r="C9" s="42">
        <v>4.62</v>
      </c>
    </row>
    <row r="10" spans="1:7" ht="15" x14ac:dyDescent="0.25">
      <c r="A10" s="41" t="s">
        <v>38</v>
      </c>
      <c r="B10" s="45">
        <v>215.60607000000005</v>
      </c>
      <c r="C10" s="42">
        <v>4.5900000000000007</v>
      </c>
    </row>
    <row r="11" spans="1:7" ht="15" x14ac:dyDescent="0.25">
      <c r="A11" s="41" t="s">
        <v>10</v>
      </c>
      <c r="B11" s="45">
        <v>195.40768</v>
      </c>
      <c r="C11" s="42">
        <v>4.16</v>
      </c>
    </row>
    <row r="12" spans="1:7" ht="15" x14ac:dyDescent="0.25">
      <c r="A12" s="41" t="s">
        <v>36</v>
      </c>
      <c r="B12" s="45">
        <v>178.49740000000003</v>
      </c>
      <c r="C12" s="42">
        <v>3.8</v>
      </c>
    </row>
    <row r="13" spans="1:7" ht="15" x14ac:dyDescent="0.25">
      <c r="A13" s="41" t="s">
        <v>249</v>
      </c>
      <c r="B13" s="45">
        <v>149.84387000000001</v>
      </c>
      <c r="C13" s="42">
        <v>3.19</v>
      </c>
    </row>
    <row r="14" spans="1:7" ht="15" x14ac:dyDescent="0.25">
      <c r="A14" s="41" t="s">
        <v>287</v>
      </c>
      <c r="B14" s="45">
        <v>132.46386000000001</v>
      </c>
      <c r="C14" s="42">
        <v>2.82</v>
      </c>
    </row>
    <row r="15" spans="1:7" ht="15" x14ac:dyDescent="0.25">
      <c r="A15" s="41" t="s">
        <v>250</v>
      </c>
      <c r="B15" s="45">
        <v>121.66006999999999</v>
      </c>
      <c r="C15" s="42">
        <v>2.59</v>
      </c>
    </row>
    <row r="16" spans="1:7" ht="15" x14ac:dyDescent="0.25">
      <c r="A16" s="41" t="s">
        <v>95</v>
      </c>
      <c r="B16" s="45">
        <v>118.37196</v>
      </c>
      <c r="C16" s="42">
        <v>2.52</v>
      </c>
    </row>
    <row r="17" spans="1:3" ht="15" x14ac:dyDescent="0.25">
      <c r="A17" s="41" t="s">
        <v>104</v>
      </c>
      <c r="B17" s="45">
        <v>111.32601000000001</v>
      </c>
      <c r="C17" s="42">
        <v>2.37</v>
      </c>
    </row>
    <row r="18" spans="1:3" ht="15" x14ac:dyDescent="0.25">
      <c r="A18" s="43" t="s">
        <v>15</v>
      </c>
      <c r="B18" s="51">
        <f>SUM(B8:B17)</f>
        <v>1660.9652799999999</v>
      </c>
      <c r="C18" s="44">
        <f>SUM(C8:C17)</f>
        <v>35.36</v>
      </c>
    </row>
    <row r="19" spans="1:3" ht="15" x14ac:dyDescent="0.25">
      <c r="A19" s="41"/>
      <c r="B19" s="45"/>
      <c r="C19" s="42"/>
    </row>
    <row r="20" spans="1:3" ht="15" x14ac:dyDescent="0.25">
      <c r="A20" s="43" t="s">
        <v>135</v>
      </c>
      <c r="B20" s="51">
        <v>139.97953999999999</v>
      </c>
      <c r="C20" s="44">
        <v>2.98</v>
      </c>
    </row>
    <row r="21" spans="1:3" ht="15" x14ac:dyDescent="0.25">
      <c r="A21" s="41"/>
      <c r="B21" s="45"/>
      <c r="C21" s="42"/>
    </row>
    <row r="22" spans="1:3" ht="15" x14ac:dyDescent="0.25">
      <c r="A22" s="43" t="s">
        <v>17</v>
      </c>
      <c r="B22" s="51">
        <v>2896.3551800000005</v>
      </c>
      <c r="C22" s="44">
        <v>61.660000000000004</v>
      </c>
    </row>
    <row r="23" spans="1:3" ht="15" x14ac:dyDescent="0.25">
      <c r="A23" s="41"/>
      <c r="B23" s="45"/>
      <c r="C23" s="42"/>
    </row>
    <row r="24" spans="1:3" ht="15" x14ac:dyDescent="0.25">
      <c r="A24" s="48" t="s">
        <v>18</v>
      </c>
      <c r="B24" s="56">
        <f>SUM(B18,B20,B22)</f>
        <v>4697.3</v>
      </c>
      <c r="C24" s="50">
        <f>SUM(C18,C20,C22)</f>
        <v>100</v>
      </c>
    </row>
  </sheetData>
  <mergeCells count="2">
    <mergeCell ref="A5:A6"/>
    <mergeCell ref="C5:C6"/>
  </mergeCells>
  <hyperlinks>
    <hyperlink ref="A1" location="Index!A1" display="Back to Links" xr:uid="{435B8140-92FD-4FBA-AEB3-DF1791E2FDE0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F2E0-BD23-469C-BB02-F44D6DE5C4F2}">
  <dimension ref="A1:G37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70.57031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84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290</v>
      </c>
      <c r="B3" s="29"/>
      <c r="C3" s="29"/>
      <c r="D3" s="2"/>
      <c r="E3" s="2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  <c r="E5" s="26"/>
    </row>
    <row r="6" spans="1:7" ht="16.5" customHeight="1" thickTop="1" thickBot="1" x14ac:dyDescent="0.25">
      <c r="A6" s="64"/>
      <c r="B6" s="10" t="s">
        <v>6</v>
      </c>
      <c r="C6" s="66"/>
      <c r="E6" s="24"/>
    </row>
    <row r="7" spans="1:7" ht="13.5" customHeight="1" thickTop="1" x14ac:dyDescent="0.25">
      <c r="A7" s="43" t="s">
        <v>21</v>
      </c>
      <c r="B7" s="45"/>
      <c r="C7" s="42"/>
    </row>
    <row r="8" spans="1:7" ht="15" x14ac:dyDescent="0.25">
      <c r="A8" s="55" t="s">
        <v>160</v>
      </c>
      <c r="B8" s="45">
        <v>89.9</v>
      </c>
      <c r="C8" s="42">
        <v>24.8</v>
      </c>
    </row>
    <row r="9" spans="1:7" ht="15" x14ac:dyDescent="0.25">
      <c r="A9" s="55" t="s">
        <v>244</v>
      </c>
      <c r="B9" s="45">
        <v>86.746250000000003</v>
      </c>
      <c r="C9" s="42">
        <v>23.93</v>
      </c>
    </row>
    <row r="10" spans="1:7" ht="15" x14ac:dyDescent="0.25">
      <c r="A10" s="55" t="s">
        <v>178</v>
      </c>
      <c r="B10" s="45">
        <v>10.077499999999999</v>
      </c>
      <c r="C10" s="42">
        <v>2.78</v>
      </c>
    </row>
    <row r="11" spans="1:7" ht="15" x14ac:dyDescent="0.25">
      <c r="A11" s="55" t="s">
        <v>219</v>
      </c>
      <c r="B11" s="45">
        <v>7.4312500000000012</v>
      </c>
      <c r="C11" s="42">
        <v>2.0500000000000003</v>
      </c>
    </row>
    <row r="12" spans="1:7" ht="15" x14ac:dyDescent="0.25">
      <c r="A12" s="55" t="s">
        <v>179</v>
      </c>
      <c r="B12" s="45">
        <v>5.1475</v>
      </c>
      <c r="C12" s="42">
        <v>1.4200000000000002</v>
      </c>
    </row>
    <row r="13" spans="1:7" ht="15" x14ac:dyDescent="0.25">
      <c r="A13" s="55" t="s">
        <v>273</v>
      </c>
      <c r="B13" s="45">
        <v>3.5162499999999999</v>
      </c>
      <c r="C13" s="42">
        <v>0.97</v>
      </c>
    </row>
    <row r="14" spans="1:7" ht="15" x14ac:dyDescent="0.25">
      <c r="A14" s="55" t="s">
        <v>26</v>
      </c>
      <c r="B14" s="45">
        <v>3.1537499999999996</v>
      </c>
      <c r="C14" s="42">
        <v>0.86999999999999988</v>
      </c>
    </row>
    <row r="15" spans="1:7" ht="15" x14ac:dyDescent="0.25">
      <c r="A15" s="55" t="s">
        <v>180</v>
      </c>
      <c r="B15" s="45">
        <v>2.5375000000000001</v>
      </c>
      <c r="C15" s="42">
        <v>0.70000000000000007</v>
      </c>
    </row>
    <row r="16" spans="1:7" ht="15" x14ac:dyDescent="0.25">
      <c r="A16" s="55" t="s">
        <v>289</v>
      </c>
      <c r="B16" s="45">
        <v>0.68874999999999997</v>
      </c>
      <c r="C16" s="42">
        <v>0.19</v>
      </c>
    </row>
    <row r="17" spans="1:3" ht="15" x14ac:dyDescent="0.25">
      <c r="A17" s="55" t="s">
        <v>163</v>
      </c>
      <c r="B17" s="45">
        <v>0.54374999999999996</v>
      </c>
      <c r="C17" s="42">
        <v>0.15</v>
      </c>
    </row>
    <row r="18" spans="1:3" ht="15" x14ac:dyDescent="0.25">
      <c r="A18" s="43" t="s">
        <v>15</v>
      </c>
      <c r="B18" s="51">
        <f>SUM(B8:B17)</f>
        <v>209.74250000000001</v>
      </c>
      <c r="C18" s="44">
        <f>SUM(C8:C17)</f>
        <v>57.86</v>
      </c>
    </row>
    <row r="19" spans="1:3" ht="15" x14ac:dyDescent="0.25">
      <c r="A19" s="41"/>
      <c r="B19" s="45"/>
      <c r="C19" s="42"/>
    </row>
    <row r="20" spans="1:3" ht="15" x14ac:dyDescent="0.25">
      <c r="A20" s="43" t="s">
        <v>23</v>
      </c>
      <c r="B20" s="45"/>
      <c r="C20" s="42"/>
    </row>
    <row r="21" spans="1:3" ht="15" x14ac:dyDescent="0.25">
      <c r="A21" s="55" t="s">
        <v>164</v>
      </c>
      <c r="B21" s="45">
        <v>25.483750000000001</v>
      </c>
      <c r="C21" s="42">
        <v>7.03</v>
      </c>
    </row>
    <row r="22" spans="1:3" ht="15" x14ac:dyDescent="0.25">
      <c r="A22" s="55" t="s">
        <v>222</v>
      </c>
      <c r="B22" s="45">
        <v>20.263750000000002</v>
      </c>
      <c r="C22" s="42">
        <v>5.59</v>
      </c>
    </row>
    <row r="23" spans="1:3" ht="15" x14ac:dyDescent="0.25">
      <c r="A23" s="55" t="s">
        <v>151</v>
      </c>
      <c r="B23" s="45">
        <v>16.965</v>
      </c>
      <c r="C23" s="42">
        <v>4.68</v>
      </c>
    </row>
    <row r="24" spans="1:3" ht="15" x14ac:dyDescent="0.25">
      <c r="A24" s="55" t="s">
        <v>139</v>
      </c>
      <c r="B24" s="45">
        <v>14.898749999999998</v>
      </c>
      <c r="C24" s="42">
        <v>4.1099999999999994</v>
      </c>
    </row>
    <row r="25" spans="1:3" ht="15" x14ac:dyDescent="0.25">
      <c r="A25" s="55" t="s">
        <v>223</v>
      </c>
      <c r="B25" s="45">
        <v>9.96875</v>
      </c>
      <c r="C25" s="42">
        <v>2.75</v>
      </c>
    </row>
    <row r="26" spans="1:3" ht="15" x14ac:dyDescent="0.25">
      <c r="A26" s="55" t="s">
        <v>181</v>
      </c>
      <c r="B26" s="45">
        <v>6.8512500000000003</v>
      </c>
      <c r="C26" s="42">
        <v>1.8900000000000001</v>
      </c>
    </row>
    <row r="27" spans="1:3" ht="15" x14ac:dyDescent="0.25">
      <c r="A27" s="55" t="s">
        <v>182</v>
      </c>
      <c r="B27" s="45">
        <v>5.0750000000000002</v>
      </c>
      <c r="C27" s="42">
        <v>1.4000000000000001</v>
      </c>
    </row>
    <row r="28" spans="1:3" ht="15" x14ac:dyDescent="0.25">
      <c r="A28" s="55" t="s">
        <v>276</v>
      </c>
      <c r="B28" s="45">
        <v>5.0750000000000002</v>
      </c>
      <c r="C28" s="42">
        <v>1.4000000000000001</v>
      </c>
    </row>
    <row r="29" spans="1:3" ht="15" x14ac:dyDescent="0.25">
      <c r="A29" s="55" t="s">
        <v>281</v>
      </c>
      <c r="B29" s="45">
        <v>5.0024999999999995</v>
      </c>
      <c r="C29" s="42">
        <v>1.38</v>
      </c>
    </row>
    <row r="30" spans="1:3" ht="15" x14ac:dyDescent="0.25">
      <c r="A30" s="55" t="s">
        <v>183</v>
      </c>
      <c r="B30" s="45">
        <v>4.93</v>
      </c>
      <c r="C30" s="42">
        <v>1.3599999999999999</v>
      </c>
    </row>
    <row r="31" spans="1:3" ht="15" x14ac:dyDescent="0.25">
      <c r="A31" s="43" t="s">
        <v>15</v>
      </c>
      <c r="B31" s="51">
        <f>SUM(B21:B30)</f>
        <v>114.51375000000002</v>
      </c>
      <c r="C31" s="44">
        <f>SUM(C21:C30)</f>
        <v>31.589999999999996</v>
      </c>
    </row>
    <row r="32" spans="1:3" ht="15" x14ac:dyDescent="0.25">
      <c r="A32" s="41"/>
      <c r="B32" s="45"/>
      <c r="C32" s="42"/>
    </row>
    <row r="33" spans="1:3" ht="15" x14ac:dyDescent="0.25">
      <c r="A33" s="43" t="s">
        <v>16</v>
      </c>
      <c r="B33" s="51">
        <v>20.154999999999998</v>
      </c>
      <c r="C33" s="44">
        <v>5.56</v>
      </c>
    </row>
    <row r="34" spans="1:3" ht="15" x14ac:dyDescent="0.25">
      <c r="A34" s="41"/>
      <c r="B34" s="45"/>
      <c r="C34" s="42"/>
    </row>
    <row r="35" spans="1:3" ht="15" x14ac:dyDescent="0.25">
      <c r="A35" s="43" t="s">
        <v>17</v>
      </c>
      <c r="B35" s="51">
        <v>18.088749999999983</v>
      </c>
      <c r="C35" s="44">
        <v>4.9899999999999949</v>
      </c>
    </row>
    <row r="36" spans="1:3" ht="15" x14ac:dyDescent="0.25">
      <c r="A36" s="41"/>
      <c r="B36" s="45"/>
      <c r="C36" s="42"/>
    </row>
    <row r="37" spans="1:3" ht="15" x14ac:dyDescent="0.25">
      <c r="A37" s="48" t="s">
        <v>18</v>
      </c>
      <c r="B37" s="56">
        <f>SUM(B18,B31,B33,B35)</f>
        <v>362.5</v>
      </c>
      <c r="C37" s="50">
        <f>SUM(C18,C31,C33,C35)</f>
        <v>99.999999999999986</v>
      </c>
    </row>
  </sheetData>
  <mergeCells count="2">
    <mergeCell ref="A5:A6"/>
    <mergeCell ref="C5:C6"/>
  </mergeCells>
  <hyperlinks>
    <hyperlink ref="A1" location="Index!A1" display="Back to Links" xr:uid="{B34CC009-4A1A-49A0-B9F3-915D5E53CC98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A26D-1D5F-4DB1-A825-ECAE4516EEBD}">
  <dimension ref="A1:G2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88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292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  <c r="E6" s="26"/>
    </row>
    <row r="7" spans="1:7" ht="16.5" customHeight="1" thickTop="1" thickBot="1" x14ac:dyDescent="0.25">
      <c r="A7" s="53" t="s">
        <v>19</v>
      </c>
      <c r="B7" s="52"/>
      <c r="C7" s="58"/>
      <c r="E7" s="26"/>
    </row>
    <row r="8" spans="1:7" ht="13.5" customHeight="1" x14ac:dyDescent="0.25">
      <c r="A8" s="41" t="s">
        <v>93</v>
      </c>
      <c r="B8" s="45">
        <v>568.35980999999992</v>
      </c>
      <c r="C8" s="42">
        <v>4.7699999999999996</v>
      </c>
    </row>
    <row r="9" spans="1:7" ht="15" x14ac:dyDescent="0.25">
      <c r="A9" s="41" t="s">
        <v>32</v>
      </c>
      <c r="B9" s="45">
        <v>508.78331000000003</v>
      </c>
      <c r="C9" s="42">
        <v>4.2700000000000005</v>
      </c>
    </row>
    <row r="10" spans="1:7" ht="15" x14ac:dyDescent="0.25">
      <c r="A10" s="41" t="s">
        <v>33</v>
      </c>
      <c r="B10" s="45">
        <v>450.39834000000002</v>
      </c>
      <c r="C10" s="42">
        <v>3.7800000000000002</v>
      </c>
    </row>
    <row r="11" spans="1:7" ht="15" x14ac:dyDescent="0.25">
      <c r="A11" s="41" t="s">
        <v>102</v>
      </c>
      <c r="B11" s="45">
        <v>449.2068099999999</v>
      </c>
      <c r="C11" s="42">
        <v>3.7699999999999996</v>
      </c>
    </row>
    <row r="12" spans="1:7" ht="15" x14ac:dyDescent="0.25">
      <c r="A12" s="41" t="s">
        <v>34</v>
      </c>
      <c r="B12" s="45">
        <v>403.92867000000001</v>
      </c>
      <c r="C12" s="42">
        <v>3.39</v>
      </c>
    </row>
    <row r="13" spans="1:7" ht="15" x14ac:dyDescent="0.25">
      <c r="A13" s="41" t="s">
        <v>229</v>
      </c>
      <c r="B13" s="45">
        <v>390.82184000000001</v>
      </c>
      <c r="C13" s="42">
        <v>3.2800000000000002</v>
      </c>
    </row>
    <row r="14" spans="1:7" ht="15" x14ac:dyDescent="0.25">
      <c r="A14" s="41" t="s">
        <v>227</v>
      </c>
      <c r="B14" s="45">
        <v>382.48112999999989</v>
      </c>
      <c r="C14" s="42">
        <v>3.2099999999999995</v>
      </c>
    </row>
    <row r="15" spans="1:7" ht="15" x14ac:dyDescent="0.25">
      <c r="A15" s="41" t="s">
        <v>142</v>
      </c>
      <c r="B15" s="45">
        <v>381.28960000000001</v>
      </c>
      <c r="C15" s="42">
        <v>3.2</v>
      </c>
    </row>
    <row r="16" spans="1:7" ht="15" x14ac:dyDescent="0.25">
      <c r="A16" s="41" t="s">
        <v>291</v>
      </c>
      <c r="B16" s="45">
        <v>350.30981999999995</v>
      </c>
      <c r="C16" s="42">
        <v>2.94</v>
      </c>
    </row>
    <row r="17" spans="1:3" ht="15" x14ac:dyDescent="0.25">
      <c r="A17" s="41" t="s">
        <v>228</v>
      </c>
      <c r="B17" s="45">
        <v>327.67075</v>
      </c>
      <c r="C17" s="42">
        <v>2.75</v>
      </c>
    </row>
    <row r="18" spans="1:3" ht="15" x14ac:dyDescent="0.25">
      <c r="A18" s="43" t="s">
        <v>15</v>
      </c>
      <c r="B18" s="51">
        <f>SUM(B8:B17)</f>
        <v>4213.2500799999998</v>
      </c>
      <c r="C18" s="44">
        <f>SUM(C8:C17)</f>
        <v>35.36</v>
      </c>
    </row>
    <row r="19" spans="1:3" ht="15" x14ac:dyDescent="0.25">
      <c r="A19" s="41"/>
      <c r="B19" s="45"/>
      <c r="C19" s="42"/>
    </row>
    <row r="20" spans="1:3" ht="15" x14ac:dyDescent="0.25">
      <c r="A20" s="43" t="s">
        <v>16</v>
      </c>
      <c r="B20" s="51">
        <v>32.171309999999998</v>
      </c>
      <c r="C20" s="44">
        <v>0.27</v>
      </c>
    </row>
    <row r="21" spans="1:3" ht="15" x14ac:dyDescent="0.25">
      <c r="A21" s="41"/>
      <c r="B21" s="45"/>
      <c r="C21" s="42"/>
    </row>
    <row r="22" spans="1:3" ht="15" x14ac:dyDescent="0.25">
      <c r="A22" s="43" t="s">
        <v>17</v>
      </c>
      <c r="B22" s="51">
        <v>7669.8786100000007</v>
      </c>
      <c r="C22" s="44">
        <v>64.37</v>
      </c>
    </row>
    <row r="23" spans="1:3" ht="15" x14ac:dyDescent="0.25">
      <c r="A23" s="41"/>
      <c r="B23" s="45"/>
      <c r="C23" s="42"/>
    </row>
    <row r="24" spans="1:3" ht="15" x14ac:dyDescent="0.25">
      <c r="A24" s="48" t="s">
        <v>18</v>
      </c>
      <c r="B24" s="56">
        <f>SUM(B18,B20,B22)</f>
        <v>11915.3</v>
      </c>
      <c r="C24" s="50">
        <f>SUM(C18,C20,C22)</f>
        <v>100</v>
      </c>
    </row>
  </sheetData>
  <mergeCells count="2">
    <mergeCell ref="A5:A6"/>
    <mergeCell ref="C5:C6"/>
  </mergeCells>
  <hyperlinks>
    <hyperlink ref="A1" location="Index!A1" display="Back to Links" xr:uid="{A4A38A54-A8A2-4C3F-A2B2-D57FFE30E179}"/>
  </hyperlinks>
  <pageMargins left="0.7" right="0.7" top="0.75" bottom="0.75" header="0.3" footer="0.3"/>
  <headerFooter>
    <oddFooter>&amp;L&amp;"Calibri"&amp;9 &amp;K000000_x000D_# Cogencis Information classification: Official_x000D_&amp;1#&amp;"Aptos"&amp;9&amp;K000000 Cogencis Information classification: Official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ADC9-DFF9-4C2F-A4B4-5E46B8920BB9}">
  <dimension ref="A1:G2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89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294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  <c r="E6" s="26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115</v>
      </c>
      <c r="B8" s="45">
        <v>698.0573599999999</v>
      </c>
      <c r="C8" s="42">
        <v>5.9799999999999995</v>
      </c>
    </row>
    <row r="9" spans="1:7" ht="15" x14ac:dyDescent="0.25">
      <c r="A9" s="41" t="s">
        <v>136</v>
      </c>
      <c r="B9" s="45">
        <v>614.01031999999987</v>
      </c>
      <c r="C9" s="42">
        <v>5.26</v>
      </c>
    </row>
    <row r="10" spans="1:7" ht="15" x14ac:dyDescent="0.25">
      <c r="A10" s="41" t="s">
        <v>230</v>
      </c>
      <c r="B10" s="45">
        <v>549.80772000000002</v>
      </c>
      <c r="C10" s="42">
        <v>4.71</v>
      </c>
    </row>
    <row r="11" spans="1:7" ht="15" x14ac:dyDescent="0.25">
      <c r="A11" s="41" t="s">
        <v>35</v>
      </c>
      <c r="B11" s="45">
        <v>455.25479999999993</v>
      </c>
      <c r="C11" s="42">
        <v>3.9</v>
      </c>
    </row>
    <row r="12" spans="1:7" ht="15" x14ac:dyDescent="0.25">
      <c r="A12" s="41" t="s">
        <v>31</v>
      </c>
      <c r="B12" s="45">
        <v>429.57375999999988</v>
      </c>
      <c r="C12" s="42">
        <v>3.6799999999999997</v>
      </c>
    </row>
    <row r="13" spans="1:7" ht="15" x14ac:dyDescent="0.25">
      <c r="A13" s="41" t="s">
        <v>262</v>
      </c>
      <c r="B13" s="45">
        <v>420.23519999999991</v>
      </c>
      <c r="C13" s="42">
        <v>3.5999999999999996</v>
      </c>
    </row>
    <row r="14" spans="1:7" ht="15" x14ac:dyDescent="0.25">
      <c r="A14" s="41" t="s">
        <v>293</v>
      </c>
      <c r="B14" s="45">
        <v>420.23519999999991</v>
      </c>
      <c r="C14" s="42">
        <v>3.5999999999999996</v>
      </c>
    </row>
    <row r="15" spans="1:7" ht="15" x14ac:dyDescent="0.25">
      <c r="A15" s="41" t="s">
        <v>130</v>
      </c>
      <c r="B15" s="45">
        <v>406.22735999999992</v>
      </c>
      <c r="C15" s="42">
        <v>3.4799999999999995</v>
      </c>
    </row>
    <row r="16" spans="1:7" ht="15" x14ac:dyDescent="0.25">
      <c r="A16" s="41" t="s">
        <v>147</v>
      </c>
      <c r="B16" s="45">
        <v>393.38684000000001</v>
      </c>
      <c r="C16" s="42">
        <v>3.37</v>
      </c>
    </row>
    <row r="17" spans="1:3" ht="15" x14ac:dyDescent="0.25">
      <c r="A17" s="41" t="s">
        <v>231</v>
      </c>
      <c r="B17" s="45">
        <v>388.71755999999999</v>
      </c>
      <c r="C17" s="42">
        <v>3.3300000000000005</v>
      </c>
    </row>
    <row r="18" spans="1:3" ht="15" x14ac:dyDescent="0.25">
      <c r="A18" s="43" t="s">
        <v>15</v>
      </c>
      <c r="B18" s="51">
        <f>SUM(B8:B17)</f>
        <v>4775.5061199999991</v>
      </c>
      <c r="C18" s="44">
        <f>SUM(C8:C17)</f>
        <v>40.909999999999989</v>
      </c>
    </row>
    <row r="19" spans="1:3" ht="15" x14ac:dyDescent="0.25">
      <c r="A19" s="41"/>
      <c r="B19" s="45"/>
      <c r="C19" s="42"/>
    </row>
    <row r="20" spans="1:3" ht="15" x14ac:dyDescent="0.25">
      <c r="A20" s="43" t="s">
        <v>16</v>
      </c>
      <c r="B20" s="51">
        <v>72.373839999999987</v>
      </c>
      <c r="C20" s="44">
        <v>0.62</v>
      </c>
    </row>
    <row r="21" spans="1:3" ht="15" x14ac:dyDescent="0.25">
      <c r="A21" s="41"/>
      <c r="B21" s="45"/>
      <c r="C21" s="42"/>
    </row>
    <row r="22" spans="1:3" ht="15" x14ac:dyDescent="0.25">
      <c r="A22" s="43" t="s">
        <v>17</v>
      </c>
      <c r="B22" s="51">
        <v>6825.3200400000005</v>
      </c>
      <c r="C22" s="44">
        <v>58.470000000000013</v>
      </c>
    </row>
    <row r="23" spans="1:3" ht="15" x14ac:dyDescent="0.25">
      <c r="A23" s="41"/>
      <c r="B23" s="45"/>
      <c r="C23" s="42"/>
    </row>
    <row r="24" spans="1:3" ht="15" x14ac:dyDescent="0.25">
      <c r="A24" s="48" t="s">
        <v>18</v>
      </c>
      <c r="B24" s="56">
        <f>SUM(B18,B20,B22)</f>
        <v>11673.2</v>
      </c>
      <c r="C24" s="50">
        <f>SUM(C18,C20,C22)</f>
        <v>100</v>
      </c>
    </row>
  </sheetData>
  <mergeCells count="2">
    <mergeCell ref="A5:A6"/>
    <mergeCell ref="C5:C6"/>
  </mergeCells>
  <hyperlinks>
    <hyperlink ref="A1" location="Index!A1" display="Back to Links" xr:uid="{B1C004A0-6885-4CF6-974C-24AF25572DF4}"/>
  </hyperlinks>
  <pageMargins left="0.7" right="0.7" top="0.75" bottom="0.75" header="0.3" footer="0.3"/>
  <headerFooter>
    <oddFooter>&amp;L&amp;"Calibri"&amp;9 &amp;K000000_x000D_# Cogencis Information classification: Official_x000D_&amp;1#&amp;"Aptos"&amp;9&amp;K000000 Cogencis Information classification: Official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893A-1F25-4D68-9A9A-BC7E0F35000D}">
  <dimension ref="A1:G2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style="9" customWidth="1"/>
    <col min="2" max="2" width="21.7109375" style="9" customWidth="1"/>
    <col min="3" max="3" width="19.5703125" style="9" customWidth="1"/>
    <col min="4" max="4" width="20.140625" style="9" customWidth="1"/>
    <col min="5" max="5" width="18.28515625" style="9" customWidth="1"/>
    <col min="6" max="6" width="18" style="9" customWidth="1"/>
    <col min="7" max="7" width="17" style="9" customWidth="1"/>
    <col min="8" max="8" width="10" style="9" bestFit="1" customWidth="1"/>
    <col min="9" max="10" width="9.140625" style="9" customWidth="1"/>
    <col min="11" max="16384" width="9.140625" style="9"/>
  </cols>
  <sheetData>
    <row r="1" spans="1:7" ht="15" customHeight="1" x14ac:dyDescent="0.2">
      <c r="A1" s="34" t="s">
        <v>2</v>
      </c>
      <c r="B1" s="3"/>
      <c r="C1" s="3"/>
      <c r="D1" s="29"/>
      <c r="G1" s="7"/>
    </row>
    <row r="2" spans="1:7" s="13" customFormat="1" ht="18.75" customHeight="1" thickBot="1" x14ac:dyDescent="0.3">
      <c r="A2" s="35" t="s">
        <v>90</v>
      </c>
      <c r="B2" s="28"/>
      <c r="C2" s="28"/>
      <c r="D2" s="36"/>
      <c r="G2" s="14"/>
    </row>
    <row r="3" spans="1:7" s="30" customFormat="1" ht="30" customHeight="1" thickBot="1" x14ac:dyDescent="0.25">
      <c r="A3" s="37" t="s">
        <v>297</v>
      </c>
      <c r="B3" s="3"/>
      <c r="C3" s="3"/>
      <c r="D3" s="3"/>
      <c r="E3" s="3"/>
    </row>
    <row r="4" spans="1:7" s="13" customFormat="1" ht="16.5" customHeight="1" thickBot="1" x14ac:dyDescent="0.3">
      <c r="A4" s="38"/>
      <c r="B4" s="28"/>
      <c r="C4" s="28"/>
      <c r="D4" s="36"/>
    </row>
    <row r="5" spans="1:7" s="13" customFormat="1" ht="16.5" customHeight="1" thickTop="1" x14ac:dyDescent="0.25">
      <c r="A5" s="68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295</v>
      </c>
      <c r="B8" s="45">
        <v>495.86232000000001</v>
      </c>
      <c r="C8" s="42">
        <v>7.23</v>
      </c>
    </row>
    <row r="9" spans="1:7" ht="15" x14ac:dyDescent="0.25">
      <c r="A9" s="41" t="s">
        <v>130</v>
      </c>
      <c r="B9" s="45">
        <v>342.23416000000003</v>
      </c>
      <c r="C9" s="42">
        <v>4.99</v>
      </c>
    </row>
    <row r="10" spans="1:7" ht="15" x14ac:dyDescent="0.25">
      <c r="A10" s="41" t="s">
        <v>129</v>
      </c>
      <c r="B10" s="45">
        <v>335.37576000000001</v>
      </c>
      <c r="C10" s="42">
        <v>4.8899999999999997</v>
      </c>
    </row>
    <row r="11" spans="1:7" ht="15" x14ac:dyDescent="0.25">
      <c r="A11" s="41" t="s">
        <v>232</v>
      </c>
      <c r="B11" s="45">
        <v>308.62800000000004</v>
      </c>
      <c r="C11" s="42">
        <v>4.5</v>
      </c>
    </row>
    <row r="12" spans="1:7" ht="15" x14ac:dyDescent="0.25">
      <c r="A12" s="41" t="s">
        <v>231</v>
      </c>
      <c r="B12" s="45">
        <v>250.33160000000001</v>
      </c>
      <c r="C12" s="42">
        <v>3.65</v>
      </c>
    </row>
    <row r="13" spans="1:7" ht="15" x14ac:dyDescent="0.25">
      <c r="A13" s="41" t="s">
        <v>233</v>
      </c>
      <c r="B13" s="45">
        <v>233.87144000000001</v>
      </c>
      <c r="C13" s="42">
        <v>3.4099999999999997</v>
      </c>
    </row>
    <row r="14" spans="1:7" ht="15" x14ac:dyDescent="0.25">
      <c r="A14" s="41" t="s">
        <v>105</v>
      </c>
      <c r="B14" s="45">
        <v>216.03960000000004</v>
      </c>
      <c r="C14" s="42">
        <v>3.15</v>
      </c>
    </row>
    <row r="15" spans="1:7" ht="15" x14ac:dyDescent="0.25">
      <c r="A15" s="41" t="s">
        <v>234</v>
      </c>
      <c r="B15" s="45">
        <v>200.26528000000002</v>
      </c>
      <c r="C15" s="42">
        <v>2.92</v>
      </c>
    </row>
    <row r="16" spans="1:7" ht="15" x14ac:dyDescent="0.25">
      <c r="A16" s="41" t="s">
        <v>251</v>
      </c>
      <c r="B16" s="45">
        <v>185.17680000000004</v>
      </c>
      <c r="C16" s="42">
        <v>2.7</v>
      </c>
    </row>
    <row r="17" spans="1:3" ht="15" x14ac:dyDescent="0.25">
      <c r="A17" s="41" t="s">
        <v>296</v>
      </c>
      <c r="B17" s="45">
        <v>180.37592000000001</v>
      </c>
      <c r="C17" s="42">
        <v>2.63</v>
      </c>
    </row>
    <row r="18" spans="1:3" ht="15" x14ac:dyDescent="0.25">
      <c r="A18" s="43" t="s">
        <v>15</v>
      </c>
      <c r="B18" s="51">
        <f>SUM(B8:B17)</f>
        <v>2748.1608800000004</v>
      </c>
      <c r="C18" s="44">
        <f>SUM(C8:C17)</f>
        <v>40.07</v>
      </c>
    </row>
    <row r="19" spans="1:3" ht="15" x14ac:dyDescent="0.25">
      <c r="A19" s="41"/>
      <c r="B19" s="45"/>
      <c r="C19" s="42"/>
    </row>
    <row r="20" spans="1:3" ht="15" x14ac:dyDescent="0.25">
      <c r="A20" s="43" t="s">
        <v>16</v>
      </c>
      <c r="B20" s="51">
        <v>22.632720000000003</v>
      </c>
      <c r="C20" s="44">
        <v>0.33</v>
      </c>
    </row>
    <row r="21" spans="1:3" ht="15" x14ac:dyDescent="0.25">
      <c r="A21" s="41"/>
      <c r="B21" s="45"/>
      <c r="C21" s="42"/>
    </row>
    <row r="22" spans="1:3" ht="15" x14ac:dyDescent="0.25">
      <c r="A22" s="43" t="s">
        <v>17</v>
      </c>
      <c r="B22" s="51">
        <v>4087.6064000000001</v>
      </c>
      <c r="C22" s="44">
        <v>59.6</v>
      </c>
    </row>
    <row r="23" spans="1:3" ht="15" x14ac:dyDescent="0.25">
      <c r="A23" s="41"/>
      <c r="B23" s="45"/>
      <c r="C23" s="42"/>
    </row>
    <row r="24" spans="1:3" ht="15" x14ac:dyDescent="0.25">
      <c r="A24" s="48" t="s">
        <v>18</v>
      </c>
      <c r="B24" s="56">
        <f>SUM(B18,B20,B22)</f>
        <v>6858.4000000000005</v>
      </c>
      <c r="C24" s="50">
        <f>SUM(C18,C20,C22)</f>
        <v>100</v>
      </c>
    </row>
  </sheetData>
  <mergeCells count="2">
    <mergeCell ref="A5:A6"/>
    <mergeCell ref="C5:C6"/>
  </mergeCells>
  <hyperlinks>
    <hyperlink ref="A1" location="Index!A1" display="Back to Links" xr:uid="{2F588F2C-F198-47D2-BB17-755F877D89AB}"/>
  </hyperlinks>
  <pageMargins left="0.7" right="0.7" top="0.75" bottom="0.75" header="0.3" footer="0.3"/>
  <headerFooter>
    <oddFooter>&amp;L&amp;"Calibri"&amp;9 &amp;K000000_x000D_# Cogencis Information classification: Official_x000D_&amp;1#&amp;"Aptos"&amp;9&amp;K000000 Cogencis Information classification: Official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26A8-8DB0-4385-B42B-C0C295F7FDAA}">
  <dimension ref="A1:G24"/>
  <sheetViews>
    <sheetView workbookViewId="0"/>
  </sheetViews>
  <sheetFormatPr defaultRowHeight="12.75" x14ac:dyDescent="0.2"/>
  <cols>
    <col min="1" max="1" width="52.140625" style="9" customWidth="1"/>
    <col min="2" max="2" width="21.7109375" style="9" customWidth="1"/>
    <col min="3" max="3" width="19.5703125" style="9" customWidth="1"/>
    <col min="4" max="4" width="20.140625" style="9" customWidth="1"/>
    <col min="5" max="5" width="18.28515625" style="9" customWidth="1"/>
    <col min="6" max="6" width="18" style="9" customWidth="1"/>
    <col min="7" max="7" width="17" style="9" customWidth="1"/>
    <col min="8" max="8" width="10" style="9" bestFit="1" customWidth="1"/>
    <col min="9" max="10" width="9.140625" style="9" customWidth="1"/>
    <col min="11" max="16384" width="9.140625" style="9"/>
  </cols>
  <sheetData>
    <row r="1" spans="1:7" ht="15" customHeight="1" x14ac:dyDescent="0.2">
      <c r="A1" s="34" t="s">
        <v>2</v>
      </c>
      <c r="B1" s="3"/>
      <c r="C1" s="3"/>
      <c r="D1" s="29"/>
      <c r="G1" s="7"/>
    </row>
    <row r="2" spans="1:7" s="13" customFormat="1" ht="18.75" customHeight="1" thickBot="1" x14ac:dyDescent="0.3">
      <c r="A2" s="19" t="s">
        <v>73</v>
      </c>
      <c r="B2" s="28"/>
      <c r="C2" s="28"/>
      <c r="D2" s="36"/>
      <c r="G2" s="14"/>
    </row>
    <row r="3" spans="1:7" s="30" customFormat="1" ht="30" customHeight="1" thickBot="1" x14ac:dyDescent="0.25">
      <c r="A3" s="37" t="s">
        <v>298</v>
      </c>
      <c r="B3" s="3"/>
      <c r="C3" s="3"/>
      <c r="D3" s="3"/>
      <c r="E3" s="3"/>
    </row>
    <row r="4" spans="1:7" s="13" customFormat="1" ht="16.5" customHeight="1" thickBot="1" x14ac:dyDescent="0.3">
      <c r="A4" s="38"/>
      <c r="B4" s="28"/>
      <c r="C4" s="28"/>
      <c r="D4" s="36"/>
    </row>
    <row r="5" spans="1:7" s="13" customFormat="1" ht="16.5" customHeight="1" thickTop="1" thickBot="1" x14ac:dyDescent="0.3">
      <c r="A5" s="68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105</v>
      </c>
      <c r="B8" s="45">
        <v>153.476</v>
      </c>
      <c r="C8" s="42">
        <v>6.29</v>
      </c>
    </row>
    <row r="9" spans="1:7" ht="15" x14ac:dyDescent="0.25">
      <c r="A9" s="41" t="s">
        <v>12</v>
      </c>
      <c r="B9" s="45">
        <v>135.90800000000002</v>
      </c>
      <c r="C9" s="42">
        <v>5.57</v>
      </c>
    </row>
    <row r="10" spans="1:7" ht="15" x14ac:dyDescent="0.25">
      <c r="A10" s="41" t="s">
        <v>133</v>
      </c>
      <c r="B10" s="45">
        <v>133.71200000000002</v>
      </c>
      <c r="C10" s="42">
        <v>5.48</v>
      </c>
    </row>
    <row r="11" spans="1:7" ht="15" x14ac:dyDescent="0.25">
      <c r="A11" s="41" t="s">
        <v>114</v>
      </c>
      <c r="B11" s="45">
        <v>129.80799999999999</v>
      </c>
      <c r="C11" s="42">
        <v>5.3199999999999994</v>
      </c>
    </row>
    <row r="12" spans="1:7" ht="15" x14ac:dyDescent="0.25">
      <c r="A12" s="41" t="s">
        <v>11</v>
      </c>
      <c r="B12" s="45">
        <v>129.32</v>
      </c>
      <c r="C12" s="42">
        <v>5.3</v>
      </c>
    </row>
    <row r="13" spans="1:7" ht="15" x14ac:dyDescent="0.25">
      <c r="A13" s="41" t="s">
        <v>144</v>
      </c>
      <c r="B13" s="45">
        <v>118.096</v>
      </c>
      <c r="C13" s="42">
        <v>4.84</v>
      </c>
    </row>
    <row r="14" spans="1:7" ht="15" x14ac:dyDescent="0.25">
      <c r="A14" s="41" t="s">
        <v>234</v>
      </c>
      <c r="B14" s="45">
        <v>107.35999999999999</v>
      </c>
      <c r="C14" s="42">
        <v>4.3999999999999995</v>
      </c>
    </row>
    <row r="15" spans="1:7" ht="15" x14ac:dyDescent="0.25">
      <c r="A15" s="41" t="s">
        <v>91</v>
      </c>
      <c r="B15" s="45">
        <v>98.087999999999994</v>
      </c>
      <c r="C15" s="42">
        <v>4.0199999999999996</v>
      </c>
    </row>
    <row r="16" spans="1:7" ht="15" x14ac:dyDescent="0.25">
      <c r="A16" s="41" t="s">
        <v>115</v>
      </c>
      <c r="B16" s="45">
        <v>96.38</v>
      </c>
      <c r="C16" s="42">
        <v>3.95</v>
      </c>
    </row>
    <row r="17" spans="1:3" ht="15" x14ac:dyDescent="0.25">
      <c r="A17" s="41" t="s">
        <v>100</v>
      </c>
      <c r="B17" s="45">
        <v>94.671999999999983</v>
      </c>
      <c r="C17" s="42">
        <v>3.88</v>
      </c>
    </row>
    <row r="18" spans="1:3" ht="15" x14ac:dyDescent="0.25">
      <c r="A18" s="43" t="s">
        <v>15</v>
      </c>
      <c r="B18" s="51">
        <f>SUM(B8:B17)</f>
        <v>1196.82</v>
      </c>
      <c r="C18" s="44">
        <f>SUM(C8:C17)</f>
        <v>49.050000000000004</v>
      </c>
    </row>
    <row r="19" spans="1:3" ht="15" x14ac:dyDescent="0.25">
      <c r="A19" s="41"/>
      <c r="B19" s="45"/>
      <c r="C19" s="42"/>
    </row>
    <row r="20" spans="1:3" ht="15" x14ac:dyDescent="0.25">
      <c r="A20" s="43" t="s">
        <v>16</v>
      </c>
      <c r="B20" s="51">
        <v>18.788</v>
      </c>
      <c r="C20" s="44">
        <v>0.77</v>
      </c>
    </row>
    <row r="21" spans="1:3" ht="15" x14ac:dyDescent="0.25">
      <c r="A21" s="41"/>
      <c r="B21" s="45"/>
      <c r="C21" s="42"/>
    </row>
    <row r="22" spans="1:3" ht="15" x14ac:dyDescent="0.25">
      <c r="A22" s="43" t="s">
        <v>17</v>
      </c>
      <c r="B22" s="51">
        <v>1224.3919999999998</v>
      </c>
      <c r="C22" s="44">
        <v>50.179999999999993</v>
      </c>
    </row>
    <row r="23" spans="1:3" ht="15" x14ac:dyDescent="0.25">
      <c r="A23" s="41"/>
      <c r="B23" s="45"/>
      <c r="C23" s="42"/>
    </row>
    <row r="24" spans="1:3" ht="15" x14ac:dyDescent="0.25">
      <c r="A24" s="48" t="s">
        <v>18</v>
      </c>
      <c r="B24" s="56">
        <f>SUM(B18,B20,B22)</f>
        <v>2440</v>
      </c>
      <c r="C24" s="50">
        <f>SUM(C18,C20,C22)</f>
        <v>100</v>
      </c>
    </row>
  </sheetData>
  <mergeCells count="2">
    <mergeCell ref="A5:A6"/>
    <mergeCell ref="C5:C6"/>
  </mergeCells>
  <hyperlinks>
    <hyperlink ref="A1" location="Index!A1" display="Back to Links" xr:uid="{67494CD5-B863-4C74-9EE8-6A29288276EC}"/>
  </hyperlinks>
  <pageMargins left="0.7" right="0.7" top="0.75" bottom="0.75" header="0.3" footer="0.3"/>
  <headerFooter>
    <oddFooter>&amp;L&amp;"Calibri"&amp;9 &amp;K000000_x000D_# Cogencis Information classification: Official_x000D_&amp;1#&amp;"Aptos"&amp;9&amp;K000000 Cogencis Information classification: Official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B446-4D28-4506-9C4B-0BC2CD89BEA5}">
  <dimension ref="A1:C24"/>
  <sheetViews>
    <sheetView workbookViewId="0"/>
  </sheetViews>
  <sheetFormatPr defaultRowHeight="12.75" x14ac:dyDescent="0.2"/>
  <cols>
    <col min="1" max="1" width="44.28515625" customWidth="1"/>
    <col min="2" max="2" width="24.85546875" style="9" customWidth="1"/>
    <col min="3" max="3" width="20.140625" style="9" customWidth="1"/>
  </cols>
  <sheetData>
    <row r="1" spans="1:3" ht="15" customHeight="1" x14ac:dyDescent="0.2">
      <c r="A1" s="34" t="s">
        <v>2</v>
      </c>
      <c r="B1" s="3"/>
      <c r="C1" s="3"/>
    </row>
    <row r="2" spans="1:3" ht="18.75" customHeight="1" thickBot="1" x14ac:dyDescent="0.3">
      <c r="A2" s="19" t="s">
        <v>74</v>
      </c>
      <c r="B2" s="28"/>
      <c r="C2" s="28"/>
    </row>
    <row r="3" spans="1:3" ht="42" customHeight="1" thickBot="1" x14ac:dyDescent="0.25">
      <c r="A3" s="37" t="s">
        <v>299</v>
      </c>
      <c r="B3" s="3"/>
      <c r="C3" s="3"/>
    </row>
    <row r="4" spans="1:3" ht="16.5" customHeight="1" thickBot="1" x14ac:dyDescent="0.3">
      <c r="A4" s="38"/>
      <c r="B4" s="28"/>
      <c r="C4" s="28"/>
    </row>
    <row r="5" spans="1:3" ht="17.25" customHeight="1" thickTop="1" thickBot="1" x14ac:dyDescent="0.3">
      <c r="A5" s="68" t="s">
        <v>3</v>
      </c>
      <c r="B5" s="8" t="s">
        <v>4</v>
      </c>
      <c r="C5" s="65" t="s">
        <v>5</v>
      </c>
    </row>
    <row r="6" spans="1:3" ht="17.25" customHeight="1" thickTop="1" thickBot="1" x14ac:dyDescent="0.25">
      <c r="A6" s="64"/>
      <c r="B6" s="10" t="s">
        <v>6</v>
      </c>
      <c r="C6" s="66"/>
    </row>
    <row r="7" spans="1:3" ht="13.5" customHeight="1" thickTop="1" x14ac:dyDescent="0.25">
      <c r="A7" s="43" t="s">
        <v>19</v>
      </c>
      <c r="B7" s="45"/>
      <c r="C7" s="42"/>
    </row>
    <row r="8" spans="1:3" ht="15" x14ac:dyDescent="0.25">
      <c r="A8" s="41" t="s">
        <v>36</v>
      </c>
      <c r="B8" s="45">
        <v>78.31389999999999</v>
      </c>
      <c r="C8" s="42">
        <v>5.9499999999999993</v>
      </c>
    </row>
    <row r="9" spans="1:3" ht="15" x14ac:dyDescent="0.25">
      <c r="A9" s="41" t="s">
        <v>105</v>
      </c>
      <c r="B9" s="45">
        <v>76.734459999999999</v>
      </c>
      <c r="C9" s="42">
        <v>5.83</v>
      </c>
    </row>
    <row r="10" spans="1:3" ht="15" x14ac:dyDescent="0.25">
      <c r="A10" s="41" t="s">
        <v>103</v>
      </c>
      <c r="B10" s="45">
        <v>71.206420000000008</v>
      </c>
      <c r="C10" s="42">
        <v>5.41</v>
      </c>
    </row>
    <row r="11" spans="1:3" ht="15" x14ac:dyDescent="0.25">
      <c r="A11" s="41" t="s">
        <v>115</v>
      </c>
      <c r="B11" s="45">
        <v>71.07480000000001</v>
      </c>
      <c r="C11" s="42">
        <v>5.4</v>
      </c>
    </row>
    <row r="12" spans="1:3" ht="15" x14ac:dyDescent="0.25">
      <c r="A12" s="41" t="s">
        <v>136</v>
      </c>
      <c r="B12" s="45">
        <v>63.835700000000003</v>
      </c>
      <c r="C12" s="42">
        <v>4.8500000000000005</v>
      </c>
    </row>
    <row r="13" spans="1:3" ht="15" x14ac:dyDescent="0.25">
      <c r="A13" s="41" t="s">
        <v>114</v>
      </c>
      <c r="B13" s="45">
        <v>62.782739999999997</v>
      </c>
      <c r="C13" s="42">
        <v>4.7699999999999996</v>
      </c>
    </row>
    <row r="14" spans="1:3" ht="15" x14ac:dyDescent="0.25">
      <c r="A14" s="41" t="s">
        <v>144</v>
      </c>
      <c r="B14" s="45">
        <v>60.676820000000006</v>
      </c>
      <c r="C14" s="42">
        <v>4.6100000000000003</v>
      </c>
    </row>
    <row r="15" spans="1:3" ht="15" x14ac:dyDescent="0.25">
      <c r="A15" s="41" t="s">
        <v>104</v>
      </c>
      <c r="B15" s="45">
        <v>60.15034</v>
      </c>
      <c r="C15" s="42">
        <v>4.5699999999999994</v>
      </c>
    </row>
    <row r="16" spans="1:3" ht="15" x14ac:dyDescent="0.25">
      <c r="A16" s="41" t="s">
        <v>35</v>
      </c>
      <c r="B16" s="45">
        <v>58.439280000000011</v>
      </c>
      <c r="C16" s="42">
        <v>4.4400000000000004</v>
      </c>
    </row>
    <row r="17" spans="1:3" ht="15" x14ac:dyDescent="0.25">
      <c r="A17" s="41" t="s">
        <v>252</v>
      </c>
      <c r="B17" s="45">
        <v>58.307659999999998</v>
      </c>
      <c r="C17" s="42">
        <v>4.43</v>
      </c>
    </row>
    <row r="18" spans="1:3" ht="15" x14ac:dyDescent="0.25">
      <c r="A18" s="43" t="s">
        <v>15</v>
      </c>
      <c r="B18" s="51">
        <f>SUM(B8:B17)</f>
        <v>661.52212000000009</v>
      </c>
      <c r="C18" s="44">
        <f>SUM(C8:C17)</f>
        <v>50.259999999999991</v>
      </c>
    </row>
    <row r="19" spans="1:3" ht="15" x14ac:dyDescent="0.25">
      <c r="A19" s="41"/>
      <c r="B19" s="45"/>
      <c r="C19" s="42"/>
    </row>
    <row r="20" spans="1:3" ht="15" x14ac:dyDescent="0.25">
      <c r="A20" s="43" t="s">
        <v>16</v>
      </c>
      <c r="B20" s="51">
        <v>13.688480000000002</v>
      </c>
      <c r="C20" s="44">
        <v>1.04</v>
      </c>
    </row>
    <row r="21" spans="1:3" ht="15" x14ac:dyDescent="0.25">
      <c r="A21" s="41"/>
      <c r="B21" s="45"/>
      <c r="C21" s="42"/>
    </row>
    <row r="22" spans="1:3" ht="15" x14ac:dyDescent="0.25">
      <c r="A22" s="43" t="s">
        <v>17</v>
      </c>
      <c r="B22" s="51">
        <v>640.98940000000016</v>
      </c>
      <c r="C22" s="44">
        <v>48.70000000000001</v>
      </c>
    </row>
    <row r="23" spans="1:3" ht="15" x14ac:dyDescent="0.25">
      <c r="A23" s="41"/>
      <c r="B23" s="45"/>
      <c r="C23" s="42"/>
    </row>
    <row r="24" spans="1:3" ht="15" x14ac:dyDescent="0.25">
      <c r="A24" s="48" t="s">
        <v>18</v>
      </c>
      <c r="B24" s="56">
        <f>SUM(B18,B20,B22)</f>
        <v>1316.2000000000003</v>
      </c>
      <c r="C24" s="50">
        <f>SUM(C18,C20,C22)</f>
        <v>100</v>
      </c>
    </row>
  </sheetData>
  <mergeCells count="2">
    <mergeCell ref="A5:A6"/>
    <mergeCell ref="C5:C6"/>
  </mergeCells>
  <hyperlinks>
    <hyperlink ref="A1" location="Index!A1" display="Back to Links" xr:uid="{AFFCF3C5-68DF-44EF-B926-AD3D410955F0}"/>
  </hyperlinks>
  <pageMargins left="0.7" right="0.7" top="0.75" bottom="0.75" header="0.3" footer="0.3"/>
  <headerFooter>
    <oddFooter>&amp;L&amp;"Calibri"&amp;9 &amp;K000000_x000D_# Cogencis Information classification: Official_x000D_&amp;1#&amp;"Aptos"&amp;9&amp;K000000 Cogencis Information classification: Official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62B0-A595-4A57-9540-14ADB6063423}">
  <dimension ref="A1:C25"/>
  <sheetViews>
    <sheetView workbookViewId="0"/>
  </sheetViews>
  <sheetFormatPr defaultRowHeight="12.75" x14ac:dyDescent="0.2"/>
  <cols>
    <col min="1" max="1" width="51" customWidth="1"/>
    <col min="2" max="2" width="21.7109375" style="9" bestFit="1" customWidth="1"/>
    <col min="3" max="3" width="20.85546875" style="9" bestFit="1" customWidth="1"/>
  </cols>
  <sheetData>
    <row r="1" spans="1:3" ht="15" x14ac:dyDescent="0.2">
      <c r="A1" s="34" t="s">
        <v>2</v>
      </c>
      <c r="B1" s="3"/>
      <c r="C1" s="3"/>
    </row>
    <row r="2" spans="1:3" ht="18.75" thickBot="1" x14ac:dyDescent="0.3">
      <c r="A2" s="19" t="s">
        <v>94</v>
      </c>
      <c r="B2" s="28"/>
      <c r="C2" s="28"/>
    </row>
    <row r="3" spans="1:3" ht="30" thickBot="1" x14ac:dyDescent="0.25">
      <c r="A3" s="37" t="s">
        <v>302</v>
      </c>
      <c r="B3" s="3"/>
      <c r="C3" s="3"/>
    </row>
    <row r="4" spans="1:3" ht="16.5" thickBot="1" x14ac:dyDescent="0.3">
      <c r="A4" s="38"/>
      <c r="B4" s="28"/>
      <c r="C4" s="28"/>
    </row>
    <row r="5" spans="1:3" ht="17.25" thickTop="1" thickBot="1" x14ac:dyDescent="0.3">
      <c r="A5" s="68" t="s">
        <v>3</v>
      </c>
      <c r="B5" s="8" t="s">
        <v>4</v>
      </c>
      <c r="C5" s="65" t="s">
        <v>5</v>
      </c>
    </row>
    <row r="6" spans="1:3" ht="17.25" thickTop="1" thickBot="1" x14ac:dyDescent="0.25">
      <c r="A6" s="64"/>
      <c r="B6" s="10" t="s">
        <v>6</v>
      </c>
      <c r="C6" s="66"/>
    </row>
    <row r="7" spans="1:3" ht="16.5" thickTop="1" thickBot="1" x14ac:dyDescent="0.3">
      <c r="A7" s="43" t="s">
        <v>19</v>
      </c>
      <c r="B7" s="45"/>
      <c r="C7" s="42"/>
    </row>
    <row r="8" spans="1:3" ht="15" x14ac:dyDescent="0.25">
      <c r="A8" s="41" t="s">
        <v>235</v>
      </c>
      <c r="B8" s="45">
        <v>33.090600000000002</v>
      </c>
      <c r="C8" s="42">
        <v>2.62</v>
      </c>
    </row>
    <row r="9" spans="1:3" ht="15" x14ac:dyDescent="0.25">
      <c r="A9" s="41" t="s">
        <v>186</v>
      </c>
      <c r="B9" s="45">
        <v>32.080199999999998</v>
      </c>
      <c r="C9" s="42">
        <v>2.54</v>
      </c>
    </row>
    <row r="10" spans="1:3" ht="15" x14ac:dyDescent="0.25">
      <c r="A10" s="41" t="s">
        <v>185</v>
      </c>
      <c r="B10" s="45">
        <v>31.827600000000004</v>
      </c>
      <c r="C10" s="42">
        <v>2.52</v>
      </c>
    </row>
    <row r="11" spans="1:3" ht="15" x14ac:dyDescent="0.25">
      <c r="A11" s="41" t="s">
        <v>25</v>
      </c>
      <c r="B11" s="45">
        <v>31.448699999999999</v>
      </c>
      <c r="C11" s="42">
        <v>2.4899999999999998</v>
      </c>
    </row>
    <row r="12" spans="1:3" ht="15" x14ac:dyDescent="0.25">
      <c r="A12" s="41" t="s">
        <v>253</v>
      </c>
      <c r="B12" s="45">
        <v>29.554199999999994</v>
      </c>
      <c r="C12" s="42">
        <v>2.34</v>
      </c>
    </row>
    <row r="13" spans="1:3" ht="15" x14ac:dyDescent="0.25">
      <c r="A13" s="41" t="s">
        <v>300</v>
      </c>
      <c r="B13" s="45">
        <v>28.922699999999999</v>
      </c>
      <c r="C13" s="42">
        <v>2.29</v>
      </c>
    </row>
    <row r="14" spans="1:3" ht="15" x14ac:dyDescent="0.25">
      <c r="A14" s="41" t="s">
        <v>96</v>
      </c>
      <c r="B14" s="45">
        <v>28.796400000000002</v>
      </c>
      <c r="C14" s="42">
        <v>2.2800000000000002</v>
      </c>
    </row>
    <row r="15" spans="1:3" ht="15" x14ac:dyDescent="0.25">
      <c r="A15" s="41" t="s">
        <v>254</v>
      </c>
      <c r="B15" s="45">
        <v>28.164899999999999</v>
      </c>
      <c r="C15" s="42">
        <v>2.23</v>
      </c>
    </row>
    <row r="16" spans="1:3" ht="15" x14ac:dyDescent="0.25">
      <c r="A16" s="41" t="s">
        <v>301</v>
      </c>
      <c r="B16" s="45">
        <v>27.785999999999994</v>
      </c>
      <c r="C16" s="42">
        <v>2.1999999999999997</v>
      </c>
    </row>
    <row r="17" spans="1:3" ht="15.75" thickBot="1" x14ac:dyDescent="0.3">
      <c r="A17" s="41" t="s">
        <v>143</v>
      </c>
      <c r="B17" s="45">
        <v>27.154499999999999</v>
      </c>
      <c r="C17" s="42">
        <v>2.15</v>
      </c>
    </row>
    <row r="18" spans="1:3" ht="15.75" thickBot="1" x14ac:dyDescent="0.3">
      <c r="A18" s="43" t="s">
        <v>15</v>
      </c>
      <c r="B18" s="51">
        <f>SUM(B8:B17)</f>
        <v>298.82579999999996</v>
      </c>
      <c r="C18" s="44">
        <f>SUM(C8:C17)</f>
        <v>23.66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16</v>
      </c>
      <c r="B20" s="51">
        <v>10.482899999999999</v>
      </c>
      <c r="C20" s="44">
        <v>0.83</v>
      </c>
    </row>
    <row r="21" spans="1:3" ht="15.75" thickBot="1" x14ac:dyDescent="0.3">
      <c r="A21" s="41"/>
      <c r="B21" s="45"/>
      <c r="C21" s="42"/>
    </row>
    <row r="22" spans="1:3" ht="15.75" thickBot="1" x14ac:dyDescent="0.3">
      <c r="A22" s="43" t="s">
        <v>17</v>
      </c>
      <c r="B22" s="51">
        <v>953.69130000000007</v>
      </c>
      <c r="C22" s="44">
        <v>75.510000000000005</v>
      </c>
    </row>
    <row r="23" spans="1:3" ht="15.75" thickBot="1" x14ac:dyDescent="0.3">
      <c r="A23" s="41"/>
      <c r="B23" s="45"/>
      <c r="C23" s="42"/>
    </row>
    <row r="24" spans="1:3" ht="15.75" thickBot="1" x14ac:dyDescent="0.3">
      <c r="A24" s="48" t="s">
        <v>18</v>
      </c>
      <c r="B24" s="56">
        <f>SUM(B18,B20,B22)</f>
        <v>1263</v>
      </c>
      <c r="C24" s="50">
        <f>SUM(C18,C20,C22)</f>
        <v>100</v>
      </c>
    </row>
    <row r="25" spans="1:3" ht="13.5" thickTop="1" x14ac:dyDescent="0.2"/>
  </sheetData>
  <mergeCells count="2">
    <mergeCell ref="A5:A6"/>
    <mergeCell ref="C5:C6"/>
  </mergeCells>
  <hyperlinks>
    <hyperlink ref="A1" location="Index!A1" display="Back to Links" xr:uid="{68FC3EB8-0820-4FB9-88C7-F9078FF69A55}"/>
  </hyperlinks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5C81-5523-4C35-ABE7-9E5314C8683A}">
  <dimension ref="A1:C25"/>
  <sheetViews>
    <sheetView workbookViewId="0"/>
  </sheetViews>
  <sheetFormatPr defaultRowHeight="12.75" x14ac:dyDescent="0.2"/>
  <cols>
    <col min="1" max="1" width="74.28515625" bestFit="1" customWidth="1"/>
    <col min="2" max="2" width="21.7109375" style="9" bestFit="1" customWidth="1"/>
    <col min="3" max="3" width="20.85546875" style="9" bestFit="1" customWidth="1"/>
  </cols>
  <sheetData>
    <row r="1" spans="1:3" ht="15" x14ac:dyDescent="0.2">
      <c r="A1" s="34" t="s">
        <v>2</v>
      </c>
      <c r="B1" s="3"/>
      <c r="C1" s="3"/>
    </row>
    <row r="2" spans="1:3" ht="18.75" thickBot="1" x14ac:dyDescent="0.3">
      <c r="A2" s="19" t="s">
        <v>101</v>
      </c>
      <c r="B2" s="28"/>
      <c r="C2" s="28"/>
    </row>
    <row r="3" spans="1:3" ht="26.25" customHeight="1" thickBot="1" x14ac:dyDescent="0.25">
      <c r="A3" s="37" t="s">
        <v>306</v>
      </c>
      <c r="B3" s="3"/>
      <c r="C3" s="3"/>
    </row>
    <row r="4" spans="1:3" ht="16.5" thickBot="1" x14ac:dyDescent="0.3">
      <c r="A4" s="38"/>
      <c r="B4" s="28"/>
      <c r="C4" s="28"/>
    </row>
    <row r="5" spans="1:3" ht="17.25" thickTop="1" thickBot="1" x14ac:dyDescent="0.3">
      <c r="A5" s="68" t="s">
        <v>3</v>
      </c>
      <c r="B5" s="8" t="s">
        <v>4</v>
      </c>
      <c r="C5" s="65" t="s">
        <v>5</v>
      </c>
    </row>
    <row r="6" spans="1:3" ht="17.25" thickTop="1" thickBot="1" x14ac:dyDescent="0.25">
      <c r="A6" s="64"/>
      <c r="B6" s="10" t="s">
        <v>6</v>
      </c>
      <c r="C6" s="66"/>
    </row>
    <row r="7" spans="1:3" ht="16.5" thickTop="1" thickBot="1" x14ac:dyDescent="0.3">
      <c r="A7" s="43" t="s">
        <v>19</v>
      </c>
      <c r="B7" s="45"/>
      <c r="C7" s="42"/>
    </row>
    <row r="8" spans="1:3" ht="15" x14ac:dyDescent="0.25">
      <c r="A8" s="41" t="s">
        <v>9</v>
      </c>
      <c r="B8" s="45">
        <v>26.656309999999998</v>
      </c>
      <c r="C8" s="42">
        <v>5.29</v>
      </c>
    </row>
    <row r="9" spans="1:3" ht="15" x14ac:dyDescent="0.25">
      <c r="A9" s="41" t="s">
        <v>303</v>
      </c>
      <c r="B9" s="45">
        <v>25.698899999999998</v>
      </c>
      <c r="C9" s="42">
        <v>5.0999999999999996</v>
      </c>
    </row>
    <row r="10" spans="1:3" ht="15" x14ac:dyDescent="0.25">
      <c r="A10" s="41" t="s">
        <v>25</v>
      </c>
      <c r="B10" s="45">
        <v>18.493130000000001</v>
      </c>
      <c r="C10" s="42">
        <v>3.6700000000000004</v>
      </c>
    </row>
    <row r="11" spans="1:3" ht="15" x14ac:dyDescent="0.25">
      <c r="A11" s="41" t="s">
        <v>8</v>
      </c>
      <c r="B11" s="45">
        <v>16.1248</v>
      </c>
      <c r="C11" s="42">
        <v>3.2</v>
      </c>
    </row>
    <row r="12" spans="1:3" ht="15" x14ac:dyDescent="0.25">
      <c r="A12" s="41" t="s">
        <v>20</v>
      </c>
      <c r="B12" s="45">
        <v>14.26037</v>
      </c>
      <c r="C12" s="42">
        <v>2.83</v>
      </c>
    </row>
    <row r="13" spans="1:3" ht="15" x14ac:dyDescent="0.25">
      <c r="A13" s="41" t="s">
        <v>236</v>
      </c>
      <c r="B13" s="45">
        <v>13.907639999999999</v>
      </c>
      <c r="C13" s="42">
        <v>2.76</v>
      </c>
    </row>
    <row r="14" spans="1:3" ht="15" x14ac:dyDescent="0.25">
      <c r="A14" s="41" t="s">
        <v>27</v>
      </c>
      <c r="B14" s="45">
        <v>13.65569</v>
      </c>
      <c r="C14" s="42">
        <v>2.71</v>
      </c>
    </row>
    <row r="15" spans="1:3" ht="15" x14ac:dyDescent="0.25">
      <c r="A15" s="41" t="s">
        <v>304</v>
      </c>
      <c r="B15" s="45">
        <v>13.55491</v>
      </c>
      <c r="C15" s="42">
        <v>2.69</v>
      </c>
    </row>
    <row r="16" spans="1:3" ht="15" x14ac:dyDescent="0.25">
      <c r="A16" s="41" t="s">
        <v>10</v>
      </c>
      <c r="B16" s="45">
        <v>13.252569999999999</v>
      </c>
      <c r="C16" s="42">
        <v>2.63</v>
      </c>
    </row>
    <row r="17" spans="1:3" ht="15.75" thickBot="1" x14ac:dyDescent="0.3">
      <c r="A17" s="41" t="s">
        <v>305</v>
      </c>
      <c r="B17" s="45">
        <v>12.69828</v>
      </c>
      <c r="C17" s="42">
        <v>2.52</v>
      </c>
    </row>
    <row r="18" spans="1:3" ht="15.75" thickBot="1" x14ac:dyDescent="0.3">
      <c r="A18" s="43" t="s">
        <v>15</v>
      </c>
      <c r="B18" s="51">
        <f>SUM(B8:B17)</f>
        <v>168.30260000000001</v>
      </c>
      <c r="C18" s="44">
        <f>SUM(C8:C17)</f>
        <v>33.400000000000006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16</v>
      </c>
      <c r="B20" s="51">
        <v>23.88486</v>
      </c>
      <c r="C20" s="44">
        <v>4.74</v>
      </c>
    </row>
    <row r="21" spans="1:3" ht="15.75" thickBot="1" x14ac:dyDescent="0.3">
      <c r="A21" s="41"/>
      <c r="B21" s="45"/>
      <c r="C21" s="42"/>
    </row>
    <row r="22" spans="1:3" ht="15.75" thickBot="1" x14ac:dyDescent="0.3">
      <c r="A22" s="43" t="s">
        <v>17</v>
      </c>
      <c r="B22" s="51">
        <v>311.71253999999993</v>
      </c>
      <c r="C22" s="44">
        <v>61.859999999999992</v>
      </c>
    </row>
    <row r="23" spans="1:3" ht="15.75" thickBot="1" x14ac:dyDescent="0.3">
      <c r="A23" s="41"/>
      <c r="B23" s="45"/>
      <c r="C23" s="42"/>
    </row>
    <row r="24" spans="1:3" ht="15.75" thickBot="1" x14ac:dyDescent="0.3">
      <c r="A24" s="48" t="s">
        <v>18</v>
      </c>
      <c r="B24" s="56">
        <f>SUM(B18,B20,B22)</f>
        <v>503.9</v>
      </c>
      <c r="C24" s="50">
        <f>SUM(C18,C20,C22)</f>
        <v>100</v>
      </c>
    </row>
    <row r="25" spans="1:3" ht="13.5" thickTop="1" x14ac:dyDescent="0.2"/>
  </sheetData>
  <mergeCells count="2">
    <mergeCell ref="A5:A6"/>
    <mergeCell ref="C5:C6"/>
  </mergeCells>
  <hyperlinks>
    <hyperlink ref="A1" location="Index!A1" display="Back to Links" xr:uid="{16DDE4CB-BB52-4C94-BA6A-C14D5EE621E6}"/>
  </hyperlinks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4007-B7C7-4677-B6F1-25DE4F60C5F9}">
  <dimension ref="A1:G2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63.5703125" bestFit="1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85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307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  <c r="E5" s="9"/>
    </row>
    <row r="6" spans="1:7" ht="16.5" customHeight="1" thickTop="1" thickBot="1" x14ac:dyDescent="0.25">
      <c r="A6" s="64"/>
      <c r="B6" s="10" t="s">
        <v>6</v>
      </c>
      <c r="C6" s="66"/>
      <c r="E6" s="24"/>
    </row>
    <row r="7" spans="1:7" ht="13.5" customHeight="1" thickTop="1" x14ac:dyDescent="0.25">
      <c r="A7" s="43" t="s">
        <v>21</v>
      </c>
      <c r="B7" s="45"/>
      <c r="C7" s="42"/>
    </row>
    <row r="8" spans="1:7" ht="15" x14ac:dyDescent="0.25">
      <c r="A8" s="41" t="s">
        <v>117</v>
      </c>
      <c r="B8" s="45">
        <v>5849.4413999999997</v>
      </c>
      <c r="C8" s="42">
        <v>10.9</v>
      </c>
    </row>
    <row r="9" spans="1:7" ht="15" x14ac:dyDescent="0.25">
      <c r="A9" s="41" t="s">
        <v>118</v>
      </c>
      <c r="B9" s="45">
        <v>4309.2673799999993</v>
      </c>
      <c r="C9" s="42">
        <v>8.0299999999999994</v>
      </c>
    </row>
    <row r="10" spans="1:7" ht="15" x14ac:dyDescent="0.25">
      <c r="A10" s="41" t="s">
        <v>119</v>
      </c>
      <c r="B10" s="45">
        <v>4277.0686199999991</v>
      </c>
      <c r="C10" s="42">
        <v>7.9699999999999989</v>
      </c>
    </row>
    <row r="11" spans="1:7" ht="15" x14ac:dyDescent="0.25">
      <c r="A11" s="41" t="s">
        <v>120</v>
      </c>
      <c r="B11" s="45">
        <v>2989.1182199999998</v>
      </c>
      <c r="C11" s="42">
        <v>5.57</v>
      </c>
    </row>
    <row r="12" spans="1:7" ht="15" x14ac:dyDescent="0.25">
      <c r="A12" s="41" t="s">
        <v>255</v>
      </c>
      <c r="B12" s="45">
        <v>2860.3231799999999</v>
      </c>
      <c r="C12" s="42">
        <v>5.33</v>
      </c>
    </row>
    <row r="13" spans="1:7" ht="15" x14ac:dyDescent="0.25">
      <c r="A13" s="41" t="s">
        <v>121</v>
      </c>
      <c r="B13" s="45">
        <v>2570.5343400000002</v>
      </c>
      <c r="C13" s="42">
        <v>4.79</v>
      </c>
    </row>
    <row r="14" spans="1:7" ht="15" x14ac:dyDescent="0.25">
      <c r="A14" s="41" t="s">
        <v>122</v>
      </c>
      <c r="B14" s="45">
        <v>2495.4039000000002</v>
      </c>
      <c r="C14" s="42">
        <v>4.6500000000000004</v>
      </c>
    </row>
    <row r="15" spans="1:7" ht="15" x14ac:dyDescent="0.25">
      <c r="A15" s="41" t="s">
        <v>256</v>
      </c>
      <c r="B15" s="45">
        <v>2377.3417799999997</v>
      </c>
      <c r="C15" s="42">
        <v>4.43</v>
      </c>
    </row>
    <row r="16" spans="1:7" ht="15" x14ac:dyDescent="0.25">
      <c r="A16" s="41" t="s">
        <v>123</v>
      </c>
      <c r="B16" s="45">
        <v>2334.4100999999996</v>
      </c>
      <c r="C16" s="42">
        <v>4.3499999999999996</v>
      </c>
    </row>
    <row r="17" spans="1:3" ht="15" x14ac:dyDescent="0.25">
      <c r="A17" s="41" t="s">
        <v>237</v>
      </c>
      <c r="B17" s="45">
        <v>2302.2113399999998</v>
      </c>
      <c r="C17" s="42">
        <v>4.29</v>
      </c>
    </row>
    <row r="18" spans="1:3" ht="15" x14ac:dyDescent="0.25">
      <c r="A18" s="43" t="s">
        <v>15</v>
      </c>
      <c r="B18" s="51">
        <f>SUM(B8:B17)</f>
        <v>32365.120260000003</v>
      </c>
      <c r="C18" s="44">
        <f>SUM(C8:C17)</f>
        <v>60.309999999999995</v>
      </c>
    </row>
    <row r="19" spans="1:3" ht="15" x14ac:dyDescent="0.25">
      <c r="A19" s="41"/>
      <c r="B19" s="45"/>
      <c r="C19" s="42"/>
    </row>
    <row r="20" spans="1:3" ht="15" x14ac:dyDescent="0.25">
      <c r="A20" s="43" t="s">
        <v>16</v>
      </c>
      <c r="B20" s="51">
        <v>10459.230539999999</v>
      </c>
      <c r="C20" s="44">
        <v>19.489999999999998</v>
      </c>
    </row>
    <row r="21" spans="1:3" ht="15" x14ac:dyDescent="0.25">
      <c r="A21" s="41"/>
      <c r="B21" s="45"/>
      <c r="C21" s="42"/>
    </row>
    <row r="22" spans="1:3" ht="15" x14ac:dyDescent="0.25">
      <c r="A22" s="43" t="s">
        <v>17</v>
      </c>
      <c r="B22" s="51">
        <v>10840.249200000002</v>
      </c>
      <c r="C22" s="44">
        <v>20.200000000000003</v>
      </c>
    </row>
    <row r="23" spans="1:3" ht="15" x14ac:dyDescent="0.25">
      <c r="A23" s="41"/>
      <c r="B23" s="45"/>
      <c r="C23" s="42"/>
    </row>
    <row r="24" spans="1:3" ht="15" x14ac:dyDescent="0.25">
      <c r="A24" s="48" t="s">
        <v>18</v>
      </c>
      <c r="B24" s="56">
        <f>SUM(B18,B20,B22)</f>
        <v>53664.600000000006</v>
      </c>
      <c r="C24" s="50">
        <f>SUM(C18,C20,C22)</f>
        <v>100</v>
      </c>
    </row>
  </sheetData>
  <mergeCells count="2">
    <mergeCell ref="A5:A6"/>
    <mergeCell ref="C5:C6"/>
  </mergeCells>
  <hyperlinks>
    <hyperlink ref="A1" location="Index!A1" display="Back to Links" xr:uid="{8F642A2C-BC64-4AC1-8A73-474AAE49A822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5D8F-E59B-4B08-9E7B-755FBA1BCC07}">
  <dimension ref="A1:G2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86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308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  <c r="E5" s="26"/>
    </row>
    <row r="6" spans="1:7" ht="16.5" customHeight="1" thickTop="1" thickBot="1" x14ac:dyDescent="0.25">
      <c r="A6" s="64"/>
      <c r="B6" s="10" t="s">
        <v>6</v>
      </c>
      <c r="C6" s="66"/>
      <c r="E6" s="24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8</v>
      </c>
      <c r="B8" s="45">
        <v>193.10764</v>
      </c>
      <c r="C8" s="42">
        <v>8.36</v>
      </c>
    </row>
    <row r="9" spans="1:7" ht="15" x14ac:dyDescent="0.25">
      <c r="A9" s="41" t="s">
        <v>9</v>
      </c>
      <c r="B9" s="45">
        <v>161.92399</v>
      </c>
      <c r="C9" s="42">
        <v>7.01</v>
      </c>
    </row>
    <row r="10" spans="1:7" ht="15" x14ac:dyDescent="0.25">
      <c r="A10" s="41" t="s">
        <v>7</v>
      </c>
      <c r="B10" s="45">
        <v>139.28697000000003</v>
      </c>
      <c r="C10" s="42">
        <v>6.03</v>
      </c>
    </row>
    <row r="11" spans="1:7" ht="15" x14ac:dyDescent="0.25">
      <c r="A11" s="41" t="s">
        <v>20</v>
      </c>
      <c r="B11" s="45">
        <v>138.13201999999998</v>
      </c>
      <c r="C11" s="42">
        <v>5.9799999999999995</v>
      </c>
    </row>
    <row r="12" spans="1:7" ht="15" x14ac:dyDescent="0.25">
      <c r="A12" s="41" t="s">
        <v>13</v>
      </c>
      <c r="B12" s="45">
        <v>106.25539999999999</v>
      </c>
      <c r="C12" s="42">
        <v>4.5999999999999996</v>
      </c>
    </row>
    <row r="13" spans="1:7" ht="15" x14ac:dyDescent="0.25">
      <c r="A13" s="41" t="s">
        <v>99</v>
      </c>
      <c r="B13" s="45">
        <v>99.094710000000021</v>
      </c>
      <c r="C13" s="42">
        <v>4.29</v>
      </c>
    </row>
    <row r="14" spans="1:7" ht="15" x14ac:dyDescent="0.25">
      <c r="A14" s="41" t="s">
        <v>113</v>
      </c>
      <c r="B14" s="45">
        <v>94.012930000000011</v>
      </c>
      <c r="C14" s="42">
        <v>4.07</v>
      </c>
    </row>
    <row r="15" spans="1:7" ht="15" x14ac:dyDescent="0.25">
      <c r="A15" s="41" t="s">
        <v>25</v>
      </c>
      <c r="B15" s="45">
        <v>92.626990000000006</v>
      </c>
      <c r="C15" s="42">
        <v>4.01</v>
      </c>
    </row>
    <row r="16" spans="1:7" ht="15" x14ac:dyDescent="0.25">
      <c r="A16" s="41" t="s">
        <v>95</v>
      </c>
      <c r="B16" s="45">
        <v>89.85511000000001</v>
      </c>
      <c r="C16" s="42">
        <v>3.8899999999999997</v>
      </c>
    </row>
    <row r="17" spans="1:3" ht="15" x14ac:dyDescent="0.25">
      <c r="A17" s="41" t="s">
        <v>98</v>
      </c>
      <c r="B17" s="45">
        <v>89.624120000000005</v>
      </c>
      <c r="C17" s="42">
        <v>3.88</v>
      </c>
    </row>
    <row r="18" spans="1:3" ht="15" x14ac:dyDescent="0.25">
      <c r="A18" s="43" t="s">
        <v>15</v>
      </c>
      <c r="B18" s="51">
        <f>SUM(B8:B17)</f>
        <v>1203.9198800000001</v>
      </c>
      <c r="C18" s="44">
        <f>SUM(C8:C17)</f>
        <v>52.12</v>
      </c>
    </row>
    <row r="19" spans="1:3" ht="15" x14ac:dyDescent="0.25">
      <c r="A19" s="41"/>
      <c r="B19" s="45"/>
      <c r="C19" s="42"/>
    </row>
    <row r="20" spans="1:3" ht="15" x14ac:dyDescent="0.25">
      <c r="A20" s="43" t="s">
        <v>16</v>
      </c>
      <c r="B20" s="51">
        <v>26.563849999999999</v>
      </c>
      <c r="C20" s="44">
        <v>1.1499999999999999</v>
      </c>
    </row>
    <row r="21" spans="1:3" ht="15" x14ac:dyDescent="0.25">
      <c r="A21" s="41"/>
      <c r="B21" s="45"/>
      <c r="C21" s="42"/>
    </row>
    <row r="22" spans="1:3" ht="15" x14ac:dyDescent="0.25">
      <c r="A22" s="43" t="s">
        <v>17</v>
      </c>
      <c r="B22" s="51">
        <v>1079.4162700000002</v>
      </c>
      <c r="C22" s="44">
        <v>46.730000000000004</v>
      </c>
    </row>
    <row r="23" spans="1:3" ht="15" x14ac:dyDescent="0.25">
      <c r="A23" s="41"/>
      <c r="B23" s="45"/>
      <c r="C23" s="42"/>
    </row>
    <row r="24" spans="1:3" ht="15" x14ac:dyDescent="0.25">
      <c r="A24" s="48" t="s">
        <v>18</v>
      </c>
      <c r="B24" s="56">
        <f>SUM(B18,B20,B22)</f>
        <v>2309.9000000000005</v>
      </c>
      <c r="C24" s="50">
        <f>SUM(C18,C20,C22)</f>
        <v>100</v>
      </c>
    </row>
  </sheetData>
  <mergeCells count="2">
    <mergeCell ref="A5:A6"/>
    <mergeCell ref="C5:C6"/>
  </mergeCells>
  <hyperlinks>
    <hyperlink ref="A1" location="Index!A1" display="Back to Links" xr:uid="{E57CB314-9E2C-445E-B4B8-D2A7C24E13A3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200C-A914-4F33-9AD3-366565A5FB7E}">
  <dimension ref="A1:G50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57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310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  <c r="E5" s="26"/>
    </row>
    <row r="6" spans="1:7" ht="16.5" customHeight="1" thickTop="1" thickBot="1" x14ac:dyDescent="0.25">
      <c r="A6" s="64"/>
      <c r="B6" s="10" t="s">
        <v>6</v>
      </c>
      <c r="C6" s="66"/>
      <c r="E6" s="24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8</v>
      </c>
      <c r="B8" s="45">
        <v>136.5273</v>
      </c>
      <c r="C8" s="42">
        <v>6.3</v>
      </c>
    </row>
    <row r="9" spans="1:7" ht="15" x14ac:dyDescent="0.25">
      <c r="A9" s="41" t="s">
        <v>7</v>
      </c>
      <c r="B9" s="45">
        <v>96.219240000000013</v>
      </c>
      <c r="C9" s="42">
        <v>4.4400000000000004</v>
      </c>
    </row>
    <row r="10" spans="1:7" ht="15" x14ac:dyDescent="0.25">
      <c r="A10" s="41" t="s">
        <v>29</v>
      </c>
      <c r="B10" s="45">
        <v>81.049539999999993</v>
      </c>
      <c r="C10" s="42">
        <v>3.74</v>
      </c>
    </row>
    <row r="11" spans="1:7" ht="15" x14ac:dyDescent="0.25">
      <c r="A11" s="41" t="s">
        <v>9</v>
      </c>
      <c r="B11" s="45">
        <v>74.764949999999999</v>
      </c>
      <c r="C11" s="42">
        <v>3.45</v>
      </c>
    </row>
    <row r="12" spans="1:7" ht="15" x14ac:dyDescent="0.25">
      <c r="A12" s="41" t="s">
        <v>20</v>
      </c>
      <c r="B12" s="45">
        <v>66.746679999999998</v>
      </c>
      <c r="C12" s="42">
        <v>3.08</v>
      </c>
    </row>
    <row r="13" spans="1:7" ht="15" x14ac:dyDescent="0.25">
      <c r="A13" s="41" t="s">
        <v>25</v>
      </c>
      <c r="B13" s="45">
        <v>57.861569999999993</v>
      </c>
      <c r="C13" s="42">
        <v>2.67</v>
      </c>
    </row>
    <row r="14" spans="1:7" ht="15" x14ac:dyDescent="0.25">
      <c r="A14" s="41" t="s">
        <v>13</v>
      </c>
      <c r="B14" s="45">
        <v>49.626589999999993</v>
      </c>
      <c r="C14" s="42">
        <v>2.29</v>
      </c>
    </row>
    <row r="15" spans="1:7" ht="15" x14ac:dyDescent="0.25">
      <c r="A15" s="41" t="s">
        <v>95</v>
      </c>
      <c r="B15" s="45">
        <v>42.041739999999997</v>
      </c>
      <c r="C15" s="42">
        <v>1.94</v>
      </c>
    </row>
    <row r="16" spans="1:7" ht="15" x14ac:dyDescent="0.25">
      <c r="A16" s="41" t="s">
        <v>114</v>
      </c>
      <c r="B16" s="45">
        <v>35.540440000000004</v>
      </c>
      <c r="C16" s="42">
        <v>1.6400000000000001</v>
      </c>
    </row>
    <row r="17" spans="1:3" ht="15" x14ac:dyDescent="0.25">
      <c r="A17" s="41" t="s">
        <v>27</v>
      </c>
      <c r="B17" s="45">
        <v>34.023469999999996</v>
      </c>
      <c r="C17" s="42">
        <v>1.5699999999999998</v>
      </c>
    </row>
    <row r="18" spans="1:3" ht="15" x14ac:dyDescent="0.25">
      <c r="A18" s="43" t="s">
        <v>15</v>
      </c>
      <c r="B18" s="51">
        <f>SUM(B8:B17)</f>
        <v>674.40152</v>
      </c>
      <c r="C18" s="44">
        <f>SUM(C8:C17)</f>
        <v>31.12</v>
      </c>
    </row>
    <row r="19" spans="1:3" ht="15" x14ac:dyDescent="0.25">
      <c r="A19" s="41"/>
      <c r="B19" s="45"/>
      <c r="C19" s="42"/>
    </row>
    <row r="20" spans="1:3" ht="15" x14ac:dyDescent="0.25">
      <c r="A20" s="43" t="s">
        <v>21</v>
      </c>
      <c r="B20" s="45"/>
      <c r="C20" s="42"/>
    </row>
    <row r="21" spans="1:3" ht="15" x14ac:dyDescent="0.25">
      <c r="A21" s="55" t="s">
        <v>219</v>
      </c>
      <c r="B21" s="45">
        <v>140.42807999999999</v>
      </c>
      <c r="C21" s="42">
        <v>6.4799999999999995</v>
      </c>
    </row>
    <row r="22" spans="1:3" ht="15" x14ac:dyDescent="0.25">
      <c r="A22" s="55" t="s">
        <v>244</v>
      </c>
      <c r="B22" s="45">
        <v>131.75968</v>
      </c>
      <c r="C22" s="42">
        <v>6.08</v>
      </c>
    </row>
    <row r="23" spans="1:3" ht="15" x14ac:dyDescent="0.25">
      <c r="A23" s="55" t="s">
        <v>264</v>
      </c>
      <c r="B23" s="45">
        <v>90.801490000000015</v>
      </c>
      <c r="C23" s="42">
        <v>4.1900000000000004</v>
      </c>
    </row>
    <row r="24" spans="1:3" ht="15" x14ac:dyDescent="0.25">
      <c r="A24" s="55" t="s">
        <v>149</v>
      </c>
      <c r="B24" s="45">
        <v>74.114819999999995</v>
      </c>
      <c r="C24" s="42">
        <v>3.42</v>
      </c>
    </row>
    <row r="25" spans="1:3" ht="15" x14ac:dyDescent="0.25">
      <c r="A25" s="55" t="s">
        <v>160</v>
      </c>
      <c r="B25" s="45">
        <v>53.744079999999997</v>
      </c>
      <c r="C25" s="42">
        <v>2.48</v>
      </c>
    </row>
    <row r="26" spans="1:3" ht="15" x14ac:dyDescent="0.25">
      <c r="A26" s="55" t="s">
        <v>22</v>
      </c>
      <c r="B26" s="45">
        <v>39.224510000000002</v>
      </c>
      <c r="C26" s="42">
        <v>1.81</v>
      </c>
    </row>
    <row r="27" spans="1:3" ht="15" x14ac:dyDescent="0.25">
      <c r="A27" s="55" t="s">
        <v>26</v>
      </c>
      <c r="B27" s="45">
        <v>37.924250000000001</v>
      </c>
      <c r="C27" s="42">
        <v>1.7500000000000002</v>
      </c>
    </row>
    <row r="28" spans="1:3" ht="15" x14ac:dyDescent="0.25">
      <c r="A28" s="55" t="s">
        <v>37</v>
      </c>
      <c r="B28" s="45">
        <v>11.919049999999997</v>
      </c>
      <c r="C28" s="42">
        <v>0.54999999999999993</v>
      </c>
    </row>
    <row r="29" spans="1:3" ht="15" x14ac:dyDescent="0.25">
      <c r="A29" s="55" t="s">
        <v>245</v>
      </c>
      <c r="B29" s="45">
        <v>6.7180099999999996</v>
      </c>
      <c r="C29" s="42">
        <v>0.31</v>
      </c>
    </row>
    <row r="30" spans="1:3" ht="15" x14ac:dyDescent="0.25">
      <c r="A30" s="55" t="s">
        <v>309</v>
      </c>
      <c r="B30" s="45">
        <v>4.76762</v>
      </c>
      <c r="C30" s="42">
        <v>0.22</v>
      </c>
    </row>
    <row r="31" spans="1:3" ht="15" x14ac:dyDescent="0.25">
      <c r="A31" s="43" t="s">
        <v>15</v>
      </c>
      <c r="B31" s="51">
        <f>SUM(B21:B30)</f>
        <v>591.40159000000006</v>
      </c>
      <c r="C31" s="44">
        <f>SUM(C21:C30)</f>
        <v>27.29</v>
      </c>
    </row>
    <row r="32" spans="1:3" ht="15" x14ac:dyDescent="0.25">
      <c r="A32" s="41"/>
      <c r="B32" s="45"/>
      <c r="C32" s="42"/>
    </row>
    <row r="33" spans="1:3" ht="15" x14ac:dyDescent="0.25">
      <c r="A33" s="43" t="s">
        <v>23</v>
      </c>
      <c r="B33" s="45"/>
      <c r="C33" s="42"/>
    </row>
    <row r="34" spans="1:3" ht="15" x14ac:dyDescent="0.25">
      <c r="A34" s="55" t="s">
        <v>139</v>
      </c>
      <c r="B34" s="45">
        <v>86.900710000000004</v>
      </c>
      <c r="C34" s="42">
        <v>4.01</v>
      </c>
    </row>
    <row r="35" spans="1:3" ht="15" x14ac:dyDescent="0.25">
      <c r="A35" s="55" t="s">
        <v>164</v>
      </c>
      <c r="B35" s="45">
        <v>58.728409999999997</v>
      </c>
      <c r="C35" s="42">
        <v>2.71</v>
      </c>
    </row>
    <row r="36" spans="1:3" ht="15" x14ac:dyDescent="0.25">
      <c r="A36" s="55" t="s">
        <v>182</v>
      </c>
      <c r="B36" s="45">
        <v>50.710139999999996</v>
      </c>
      <c r="C36" s="42">
        <v>2.34</v>
      </c>
    </row>
    <row r="37" spans="1:3" ht="15" x14ac:dyDescent="0.25">
      <c r="A37" s="55" t="s">
        <v>156</v>
      </c>
      <c r="B37" s="45">
        <v>49.843299999999992</v>
      </c>
      <c r="C37" s="42">
        <v>2.2999999999999998</v>
      </c>
    </row>
    <row r="38" spans="1:3" ht="15" x14ac:dyDescent="0.25">
      <c r="A38" s="55" t="s">
        <v>221</v>
      </c>
      <c r="B38" s="45">
        <v>48.759749999999997</v>
      </c>
      <c r="C38" s="42">
        <v>2.25</v>
      </c>
    </row>
    <row r="39" spans="1:3" ht="15" x14ac:dyDescent="0.25">
      <c r="A39" s="55" t="s">
        <v>187</v>
      </c>
      <c r="B39" s="45">
        <v>33.806759999999997</v>
      </c>
      <c r="C39" s="42">
        <v>1.5599999999999998</v>
      </c>
    </row>
    <row r="40" spans="1:3" ht="15" x14ac:dyDescent="0.25">
      <c r="A40" s="55" t="s">
        <v>153</v>
      </c>
      <c r="B40" s="45">
        <v>24.271519999999995</v>
      </c>
      <c r="C40" s="42">
        <v>1.1199999999999999</v>
      </c>
    </row>
    <row r="41" spans="1:3" ht="15" x14ac:dyDescent="0.25">
      <c r="A41" s="55" t="s">
        <v>276</v>
      </c>
      <c r="B41" s="45">
        <v>20.370740000000001</v>
      </c>
      <c r="C41" s="42">
        <v>0.94000000000000006</v>
      </c>
    </row>
    <row r="42" spans="1:3" ht="15" x14ac:dyDescent="0.25">
      <c r="A42" s="55" t="s">
        <v>177</v>
      </c>
      <c r="B42" s="45">
        <v>14.302860000000001</v>
      </c>
      <c r="C42" s="42">
        <v>0.66</v>
      </c>
    </row>
    <row r="43" spans="1:3" ht="15" x14ac:dyDescent="0.25">
      <c r="A43" s="55" t="s">
        <v>161</v>
      </c>
      <c r="B43" s="45">
        <v>11.268920000000001</v>
      </c>
      <c r="C43" s="42">
        <v>0.52</v>
      </c>
    </row>
    <row r="44" spans="1:3" ht="15" x14ac:dyDescent="0.25">
      <c r="A44" s="43" t="s">
        <v>15</v>
      </c>
      <c r="B44" s="51">
        <f>SUM(B34:B43)</f>
        <v>398.96311000000003</v>
      </c>
      <c r="C44" s="44">
        <f>SUM(C34:C43)</f>
        <v>18.41</v>
      </c>
    </row>
    <row r="45" spans="1:3" ht="15" x14ac:dyDescent="0.25">
      <c r="A45" s="41"/>
      <c r="B45" s="45"/>
      <c r="C45" s="42"/>
    </row>
    <row r="46" spans="1:3" ht="15" x14ac:dyDescent="0.25">
      <c r="A46" s="43" t="s">
        <v>16</v>
      </c>
      <c r="B46" s="51">
        <v>46.592649999999992</v>
      </c>
      <c r="C46" s="44">
        <v>2.15</v>
      </c>
    </row>
    <row r="47" spans="1:3" ht="15.75" thickBot="1" x14ac:dyDescent="0.3">
      <c r="A47" s="41"/>
      <c r="B47" s="45"/>
      <c r="C47" s="42"/>
    </row>
    <row r="48" spans="1:3" ht="15.75" thickBot="1" x14ac:dyDescent="0.3">
      <c r="A48" s="43" t="s">
        <v>17</v>
      </c>
      <c r="B48" s="51">
        <v>455.74113</v>
      </c>
      <c r="C48" s="44">
        <v>21.03</v>
      </c>
    </row>
    <row r="49" spans="1:3" ht="15.75" thickBot="1" x14ac:dyDescent="0.3">
      <c r="A49" s="41"/>
      <c r="B49" s="45"/>
      <c r="C49" s="42"/>
    </row>
    <row r="50" spans="1:3" ht="15" x14ac:dyDescent="0.25">
      <c r="A50" s="48" t="s">
        <v>18</v>
      </c>
      <c r="B50" s="56">
        <f>SUM(B18,B31,B44,B46,B48)</f>
        <v>2167.1</v>
      </c>
      <c r="C50" s="50">
        <f>SUM(C18,C31,C44,C46,C48)</f>
        <v>100</v>
      </c>
    </row>
  </sheetData>
  <mergeCells count="2">
    <mergeCell ref="A5:A6"/>
    <mergeCell ref="C5:C6"/>
  </mergeCells>
  <hyperlinks>
    <hyperlink ref="A1" location="Index!A1" display="Back to Links" xr:uid="{9F257475-1EBB-44BE-867E-229E8126E214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AB6D-75F2-4A17-AD2F-E0531A99244B}">
  <dimension ref="A1:G5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5">
      <c r="A1" s="34" t="s">
        <v>2</v>
      </c>
      <c r="B1" s="28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58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312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  <c r="E5" s="26"/>
    </row>
    <row r="6" spans="1:7" ht="16.5" customHeight="1" thickTop="1" thickBot="1" x14ac:dyDescent="0.25">
      <c r="A6" s="64"/>
      <c r="B6" s="10" t="s">
        <v>6</v>
      </c>
      <c r="C6" s="66"/>
      <c r="E6" s="24"/>
    </row>
    <row r="7" spans="1:7" ht="13.5" customHeight="1" thickTop="1" x14ac:dyDescent="0.25">
      <c r="A7" s="43" t="s">
        <v>140</v>
      </c>
      <c r="B7" s="45"/>
      <c r="C7" s="42"/>
    </row>
    <row r="8" spans="1:7" ht="15" x14ac:dyDescent="0.25">
      <c r="A8" s="41" t="s">
        <v>7</v>
      </c>
      <c r="B8" s="45">
        <v>198.61547999999999</v>
      </c>
      <c r="C8" s="42">
        <v>4.38</v>
      </c>
    </row>
    <row r="9" spans="1:7" ht="15" x14ac:dyDescent="0.25">
      <c r="A9" s="41" t="s">
        <v>8</v>
      </c>
      <c r="B9" s="45">
        <v>192.26703999999998</v>
      </c>
      <c r="C9" s="42">
        <v>4.24</v>
      </c>
    </row>
    <row r="10" spans="1:7" ht="15" x14ac:dyDescent="0.25">
      <c r="A10" s="41" t="s">
        <v>29</v>
      </c>
      <c r="B10" s="45">
        <v>188.1859</v>
      </c>
      <c r="C10" s="42">
        <v>4.1500000000000004</v>
      </c>
    </row>
    <row r="11" spans="1:7" ht="15" x14ac:dyDescent="0.25">
      <c r="A11" s="41" t="s">
        <v>9</v>
      </c>
      <c r="B11" s="45">
        <v>163.24559999999997</v>
      </c>
      <c r="C11" s="42">
        <v>3.5999999999999996</v>
      </c>
    </row>
    <row r="12" spans="1:7" ht="15" x14ac:dyDescent="0.25">
      <c r="A12" s="41" t="s">
        <v>25</v>
      </c>
      <c r="B12" s="45">
        <v>157.35061999999999</v>
      </c>
      <c r="C12" s="42">
        <v>3.47</v>
      </c>
    </row>
    <row r="13" spans="1:7" ht="15" x14ac:dyDescent="0.25">
      <c r="A13" s="41" t="s">
        <v>12</v>
      </c>
      <c r="B13" s="45">
        <v>126.51533999999998</v>
      </c>
      <c r="C13" s="42">
        <v>2.79</v>
      </c>
    </row>
    <row r="14" spans="1:7" ht="15" x14ac:dyDescent="0.25">
      <c r="A14" s="41" t="s">
        <v>11</v>
      </c>
      <c r="B14" s="45">
        <v>99.307739999999995</v>
      </c>
      <c r="C14" s="42">
        <v>2.19</v>
      </c>
    </row>
    <row r="15" spans="1:7" ht="15" x14ac:dyDescent="0.25">
      <c r="A15" s="41" t="s">
        <v>10</v>
      </c>
      <c r="B15" s="45">
        <v>99.307739999999995</v>
      </c>
      <c r="C15" s="42">
        <v>2.19</v>
      </c>
    </row>
    <row r="16" spans="1:7" ht="15" x14ac:dyDescent="0.25">
      <c r="A16" s="41" t="s">
        <v>95</v>
      </c>
      <c r="B16" s="45">
        <v>97.493899999999982</v>
      </c>
      <c r="C16" s="42">
        <v>2.15</v>
      </c>
    </row>
    <row r="17" spans="1:3" ht="15" x14ac:dyDescent="0.25">
      <c r="A17" s="41" t="s">
        <v>13</v>
      </c>
      <c r="B17" s="45">
        <v>83.89009999999999</v>
      </c>
      <c r="C17" s="42">
        <v>1.8499999999999999</v>
      </c>
    </row>
    <row r="18" spans="1:3" ht="15" x14ac:dyDescent="0.25">
      <c r="A18" s="43" t="s">
        <v>15</v>
      </c>
      <c r="B18" s="51">
        <f>SUM(B8:B17)</f>
        <v>1406.1794599999998</v>
      </c>
      <c r="C18" s="51">
        <f>SUM(C8:C17)</f>
        <v>31.01</v>
      </c>
    </row>
    <row r="19" spans="1:3" ht="15" x14ac:dyDescent="0.25">
      <c r="A19" s="41"/>
      <c r="B19" s="45"/>
      <c r="C19" s="42"/>
    </row>
    <row r="20" spans="1:3" ht="15" x14ac:dyDescent="0.25">
      <c r="A20" s="43" t="s">
        <v>145</v>
      </c>
      <c r="B20" s="45"/>
      <c r="C20" s="42"/>
    </row>
    <row r="21" spans="1:3" ht="15" x14ac:dyDescent="0.25">
      <c r="A21" s="55" t="s">
        <v>244</v>
      </c>
      <c r="B21" s="45">
        <v>510.14249999999993</v>
      </c>
      <c r="C21" s="42">
        <v>11.25</v>
      </c>
    </row>
    <row r="22" spans="1:3" ht="15" x14ac:dyDescent="0.25">
      <c r="A22" s="55" t="s">
        <v>219</v>
      </c>
      <c r="B22" s="45">
        <v>251.21683999999996</v>
      </c>
      <c r="C22" s="42">
        <v>5.54</v>
      </c>
    </row>
    <row r="23" spans="1:3" ht="15" x14ac:dyDescent="0.25">
      <c r="A23" s="55" t="s">
        <v>264</v>
      </c>
      <c r="B23" s="45">
        <v>240.33379999999997</v>
      </c>
      <c r="C23" s="42">
        <v>5.3</v>
      </c>
    </row>
    <row r="24" spans="1:3" ht="15" x14ac:dyDescent="0.25">
      <c r="A24" s="55" t="s">
        <v>311</v>
      </c>
      <c r="B24" s="45">
        <v>48.520219999999988</v>
      </c>
      <c r="C24" s="42">
        <v>1.0699999999999998</v>
      </c>
    </row>
    <row r="25" spans="1:3" ht="15" x14ac:dyDescent="0.25">
      <c r="A25" s="55" t="s">
        <v>149</v>
      </c>
      <c r="B25" s="45">
        <v>33.556039999999996</v>
      </c>
      <c r="C25" s="42">
        <v>0.74</v>
      </c>
    </row>
    <row r="26" spans="1:3" ht="15" x14ac:dyDescent="0.25">
      <c r="A26" s="55" t="s">
        <v>160</v>
      </c>
      <c r="B26" s="45">
        <v>29.474899999999998</v>
      </c>
      <c r="C26" s="42">
        <v>0.65</v>
      </c>
    </row>
    <row r="27" spans="1:3" ht="15" x14ac:dyDescent="0.25">
      <c r="A27" s="55" t="s">
        <v>26</v>
      </c>
      <c r="B27" s="45">
        <v>22.672999999999998</v>
      </c>
      <c r="C27" s="42">
        <v>0.5</v>
      </c>
    </row>
    <row r="28" spans="1:3" ht="15" x14ac:dyDescent="0.25">
      <c r="A28" s="55" t="s">
        <v>188</v>
      </c>
      <c r="B28" s="45">
        <v>10.883039999999999</v>
      </c>
      <c r="C28" s="42">
        <v>0.24</v>
      </c>
    </row>
    <row r="29" spans="1:3" ht="15" x14ac:dyDescent="0.25">
      <c r="A29" s="55" t="s">
        <v>163</v>
      </c>
      <c r="B29" s="45">
        <v>6.3484399999999983</v>
      </c>
      <c r="C29" s="42">
        <v>0.13999999999999999</v>
      </c>
    </row>
    <row r="30" spans="1:3" ht="15" x14ac:dyDescent="0.25">
      <c r="A30" s="55" t="s">
        <v>175</v>
      </c>
      <c r="B30" s="45">
        <v>5.8949799999999994</v>
      </c>
      <c r="C30" s="42">
        <v>0.13</v>
      </c>
    </row>
    <row r="31" spans="1:3" ht="15" x14ac:dyDescent="0.25">
      <c r="A31" s="59" t="s">
        <v>188</v>
      </c>
      <c r="B31" s="51">
        <f>SUM(B21:B30)</f>
        <v>1159.0437599999996</v>
      </c>
      <c r="C31" s="51">
        <f>SUM(C21:C30)</f>
        <v>25.559999999999995</v>
      </c>
    </row>
    <row r="32" spans="1:3" ht="15" x14ac:dyDescent="0.25">
      <c r="A32" s="41"/>
      <c r="B32" s="45"/>
      <c r="C32" s="42"/>
    </row>
    <row r="33" spans="1:3" ht="15" x14ac:dyDescent="0.25">
      <c r="A33" s="43" t="s">
        <v>138</v>
      </c>
      <c r="B33" s="45"/>
      <c r="C33" s="42"/>
    </row>
    <row r="34" spans="1:3" ht="15" x14ac:dyDescent="0.25">
      <c r="A34" s="55" t="s">
        <v>222</v>
      </c>
      <c r="B34" s="45">
        <v>101.57503999999997</v>
      </c>
      <c r="C34" s="42">
        <v>2.2399999999999998</v>
      </c>
    </row>
    <row r="35" spans="1:3" ht="15" x14ac:dyDescent="0.25">
      <c r="A35" s="55" t="s">
        <v>151</v>
      </c>
      <c r="B35" s="45">
        <v>99.761199999999974</v>
      </c>
      <c r="C35" s="42">
        <v>2.1999999999999997</v>
      </c>
    </row>
    <row r="36" spans="1:3" ht="15" x14ac:dyDescent="0.25">
      <c r="A36" s="55" t="s">
        <v>223</v>
      </c>
      <c r="B36" s="45">
        <v>99.761199999999974</v>
      </c>
      <c r="C36" s="42">
        <v>2.1999999999999997</v>
      </c>
    </row>
    <row r="37" spans="1:3" ht="15" x14ac:dyDescent="0.25">
      <c r="A37" s="55" t="s">
        <v>157</v>
      </c>
      <c r="B37" s="45">
        <v>56.229039999999998</v>
      </c>
      <c r="C37" s="42">
        <v>1.24</v>
      </c>
    </row>
    <row r="38" spans="1:3" ht="15" x14ac:dyDescent="0.25">
      <c r="A38" s="55" t="s">
        <v>182</v>
      </c>
      <c r="B38" s="45">
        <v>50.787519999999986</v>
      </c>
      <c r="C38" s="42">
        <v>1.1199999999999999</v>
      </c>
    </row>
    <row r="39" spans="1:3" ht="15" x14ac:dyDescent="0.25">
      <c r="A39" s="55" t="s">
        <v>276</v>
      </c>
      <c r="B39" s="45">
        <v>50.787519999999986</v>
      </c>
      <c r="C39" s="42">
        <v>1.1199999999999999</v>
      </c>
    </row>
    <row r="40" spans="1:3" ht="15" x14ac:dyDescent="0.25">
      <c r="A40" s="55" t="s">
        <v>166</v>
      </c>
      <c r="B40" s="45">
        <v>48.066759999999995</v>
      </c>
      <c r="C40" s="42">
        <v>1.06</v>
      </c>
    </row>
    <row r="41" spans="1:3" ht="15" x14ac:dyDescent="0.25">
      <c r="A41" s="55" t="s">
        <v>246</v>
      </c>
      <c r="B41" s="45">
        <v>40.357939999999992</v>
      </c>
      <c r="C41" s="42">
        <v>0.89</v>
      </c>
    </row>
    <row r="42" spans="1:3" ht="15" x14ac:dyDescent="0.25">
      <c r="A42" s="55" t="s">
        <v>189</v>
      </c>
      <c r="B42" s="45">
        <v>38.997559999999993</v>
      </c>
      <c r="C42" s="42">
        <v>0.86</v>
      </c>
    </row>
    <row r="43" spans="1:3" ht="15.75" thickBot="1" x14ac:dyDescent="0.3">
      <c r="A43" s="55" t="s">
        <v>221</v>
      </c>
      <c r="B43" s="45">
        <v>38.997559999999993</v>
      </c>
      <c r="C43" s="42">
        <v>0.86</v>
      </c>
    </row>
    <row r="44" spans="1:3" ht="15.75" thickBot="1" x14ac:dyDescent="0.3">
      <c r="A44" s="43" t="s">
        <v>15</v>
      </c>
      <c r="B44" s="51">
        <f>SUM(B34:B43)</f>
        <v>625.32133999999985</v>
      </c>
      <c r="C44" s="51">
        <f>SUM(C34:C43)</f>
        <v>13.789999999999997</v>
      </c>
    </row>
    <row r="45" spans="1:3" ht="15" x14ac:dyDescent="0.25">
      <c r="A45" s="41"/>
      <c r="B45" s="45"/>
      <c r="C45" s="42"/>
    </row>
    <row r="46" spans="1:3" ht="15" x14ac:dyDescent="0.25">
      <c r="A46" s="43" t="s">
        <v>16</v>
      </c>
      <c r="B46" s="51">
        <v>90.23854</v>
      </c>
      <c r="C46" s="44">
        <v>1.9900000000000002</v>
      </c>
    </row>
    <row r="47" spans="1:3" ht="15.75" thickBot="1" x14ac:dyDescent="0.3">
      <c r="A47" s="41"/>
      <c r="B47" s="45"/>
      <c r="C47" s="42"/>
    </row>
    <row r="48" spans="1:3" ht="15.75" thickBot="1" x14ac:dyDescent="0.3">
      <c r="A48" s="43" t="s">
        <v>17</v>
      </c>
      <c r="B48" s="51">
        <v>1253.8168999999989</v>
      </c>
      <c r="C48" s="44">
        <v>27.649999999999977</v>
      </c>
    </row>
    <row r="49" spans="1:3" ht="15.75" thickBot="1" x14ac:dyDescent="0.3">
      <c r="A49" s="41"/>
      <c r="B49" s="45"/>
      <c r="C49" s="42"/>
    </row>
    <row r="50" spans="1:3" ht="15" x14ac:dyDescent="0.25">
      <c r="A50" s="48" t="s">
        <v>18</v>
      </c>
      <c r="B50" s="56">
        <f>SUM(B18,B31,B44,B46,B48)</f>
        <v>4534.5999999999985</v>
      </c>
      <c r="C50" s="50">
        <f>SUM(C18,C31,C44,C46,C48)</f>
        <v>99.999999999999957</v>
      </c>
    </row>
  </sheetData>
  <mergeCells count="2">
    <mergeCell ref="A5:A6"/>
    <mergeCell ref="C5:C6"/>
  </mergeCells>
  <hyperlinks>
    <hyperlink ref="A1" location="Index!A1" display="Back to Links" xr:uid="{A36A7622-FE3D-47D2-BFAD-78C4CCD4284F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57B3-02A7-478B-AA90-78D341E8C392}">
  <dimension ref="A1:C51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</cols>
  <sheetData>
    <row r="1" spans="1:3" ht="15" customHeight="1" x14ac:dyDescent="0.2">
      <c r="A1" s="34" t="s">
        <v>2</v>
      </c>
      <c r="B1" s="3"/>
      <c r="C1" s="3"/>
    </row>
    <row r="2" spans="1:3" s="15" customFormat="1" ht="18.75" customHeight="1" thickBot="1" x14ac:dyDescent="0.3">
      <c r="A2" s="19" t="s">
        <v>59</v>
      </c>
      <c r="B2" s="28"/>
      <c r="C2" s="28"/>
    </row>
    <row r="3" spans="1:3" s="18" customFormat="1" ht="30" customHeight="1" thickBot="1" x14ac:dyDescent="0.25">
      <c r="A3" s="20" t="s">
        <v>313</v>
      </c>
      <c r="B3" s="3"/>
      <c r="C3" s="3"/>
    </row>
    <row r="4" spans="1:3" s="15" customFormat="1" ht="16.5" customHeight="1" thickBot="1" x14ac:dyDescent="0.3">
      <c r="A4" s="16"/>
      <c r="B4" s="28"/>
      <c r="C4" s="28"/>
    </row>
    <row r="5" spans="1:3" s="15" customFormat="1" ht="16.5" customHeight="1" thickTop="1" thickBot="1" x14ac:dyDescent="0.3">
      <c r="A5" s="63" t="s">
        <v>3</v>
      </c>
      <c r="B5" s="8" t="s">
        <v>4</v>
      </c>
      <c r="C5" s="65" t="s">
        <v>5</v>
      </c>
    </row>
    <row r="6" spans="1:3" ht="16.5" customHeight="1" thickTop="1" thickBot="1" x14ac:dyDescent="0.25">
      <c r="A6" s="64"/>
      <c r="B6" s="10" t="s">
        <v>6</v>
      </c>
      <c r="C6" s="66"/>
    </row>
    <row r="7" spans="1:3" ht="13.5" customHeight="1" thickTop="1" thickBot="1" x14ac:dyDescent="0.3">
      <c r="A7" s="43" t="s">
        <v>19</v>
      </c>
      <c r="B7" s="45"/>
      <c r="C7" s="42"/>
    </row>
    <row r="8" spans="1:3" ht="15" x14ac:dyDescent="0.25">
      <c r="A8" s="41" t="s">
        <v>7</v>
      </c>
      <c r="B8" s="45">
        <v>16.99456</v>
      </c>
      <c r="C8" s="42">
        <v>3.52</v>
      </c>
    </row>
    <row r="9" spans="1:3" ht="15" x14ac:dyDescent="0.25">
      <c r="A9" s="41" t="s">
        <v>9</v>
      </c>
      <c r="B9" s="45">
        <v>15.15992</v>
      </c>
      <c r="C9" s="42">
        <v>3.1399999999999997</v>
      </c>
    </row>
    <row r="10" spans="1:3" ht="15" x14ac:dyDescent="0.25">
      <c r="A10" s="41" t="s">
        <v>8</v>
      </c>
      <c r="B10" s="45">
        <v>15.15992</v>
      </c>
      <c r="C10" s="42">
        <v>3.1399999999999997</v>
      </c>
    </row>
    <row r="11" spans="1:3" ht="15" x14ac:dyDescent="0.25">
      <c r="A11" s="41" t="s">
        <v>13</v>
      </c>
      <c r="B11" s="45">
        <v>12.118280000000002</v>
      </c>
      <c r="C11" s="42">
        <v>2.5100000000000002</v>
      </c>
    </row>
    <row r="12" spans="1:3" ht="15" x14ac:dyDescent="0.25">
      <c r="A12" s="41" t="s">
        <v>10</v>
      </c>
      <c r="B12" s="45">
        <v>12.118280000000002</v>
      </c>
      <c r="C12" s="42">
        <v>2.5100000000000002</v>
      </c>
    </row>
    <row r="13" spans="1:3" ht="15" x14ac:dyDescent="0.25">
      <c r="A13" s="41" t="s">
        <v>25</v>
      </c>
      <c r="B13" s="45">
        <v>9.5594400000000004</v>
      </c>
      <c r="C13" s="42">
        <v>1.9800000000000002</v>
      </c>
    </row>
    <row r="14" spans="1:3" ht="15" x14ac:dyDescent="0.25">
      <c r="A14" s="41" t="s">
        <v>14</v>
      </c>
      <c r="B14" s="45">
        <v>8.54556</v>
      </c>
      <c r="C14" s="42">
        <v>1.77</v>
      </c>
    </row>
    <row r="15" spans="1:3" ht="15" x14ac:dyDescent="0.25">
      <c r="A15" s="41" t="s">
        <v>12</v>
      </c>
      <c r="B15" s="45">
        <v>7.1454399999999998</v>
      </c>
      <c r="C15" s="42">
        <v>1.48</v>
      </c>
    </row>
    <row r="16" spans="1:3" ht="15" x14ac:dyDescent="0.25">
      <c r="A16" s="41" t="s">
        <v>29</v>
      </c>
      <c r="B16" s="45">
        <v>7.0971599999999997</v>
      </c>
      <c r="C16" s="42">
        <v>1.47</v>
      </c>
    </row>
    <row r="17" spans="1:3" ht="15.75" thickBot="1" x14ac:dyDescent="0.3">
      <c r="A17" s="41" t="s">
        <v>38</v>
      </c>
      <c r="B17" s="45">
        <v>6.3246800000000007</v>
      </c>
      <c r="C17" s="42">
        <v>1.31</v>
      </c>
    </row>
    <row r="18" spans="1:3" ht="15.75" thickBot="1" x14ac:dyDescent="0.3">
      <c r="A18" s="43" t="s">
        <v>15</v>
      </c>
      <c r="B18" s="51">
        <f>SUM(B8:B17)</f>
        <v>110.22323999999999</v>
      </c>
      <c r="C18" s="44">
        <f>SUM(C8:C17)</f>
        <v>22.83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137</v>
      </c>
      <c r="B20" s="45"/>
      <c r="C20" s="42"/>
    </row>
    <row r="21" spans="1:3" ht="15" x14ac:dyDescent="0.25">
      <c r="A21" s="55" t="s">
        <v>244</v>
      </c>
      <c r="B21" s="45">
        <v>40.217240000000004</v>
      </c>
      <c r="C21" s="42">
        <v>8.33</v>
      </c>
    </row>
    <row r="22" spans="1:3" ht="15" x14ac:dyDescent="0.25">
      <c r="A22" s="55" t="s">
        <v>22</v>
      </c>
      <c r="B22" s="45">
        <v>23.753760000000003</v>
      </c>
      <c r="C22" s="42">
        <v>4.92</v>
      </c>
    </row>
    <row r="23" spans="1:3" ht="15" x14ac:dyDescent="0.25">
      <c r="A23" s="55" t="s">
        <v>26</v>
      </c>
      <c r="B23" s="45">
        <v>22.160520000000005</v>
      </c>
      <c r="C23" s="42">
        <v>4.5900000000000007</v>
      </c>
    </row>
    <row r="24" spans="1:3" ht="15" x14ac:dyDescent="0.25">
      <c r="A24" s="55" t="s">
        <v>264</v>
      </c>
      <c r="B24" s="45">
        <v>20.37416</v>
      </c>
      <c r="C24" s="42">
        <v>4.22</v>
      </c>
    </row>
    <row r="25" spans="1:3" ht="15" x14ac:dyDescent="0.25">
      <c r="A25" s="55" t="s">
        <v>149</v>
      </c>
      <c r="B25" s="45">
        <v>18.00844</v>
      </c>
      <c r="C25" s="42">
        <v>3.73</v>
      </c>
    </row>
    <row r="26" spans="1:3" ht="15" x14ac:dyDescent="0.25">
      <c r="A26" s="55" t="s">
        <v>160</v>
      </c>
      <c r="B26" s="45">
        <v>16.99456</v>
      </c>
      <c r="C26" s="42">
        <v>3.52</v>
      </c>
    </row>
    <row r="27" spans="1:3" ht="15" x14ac:dyDescent="0.25">
      <c r="A27" s="55" t="s">
        <v>219</v>
      </c>
      <c r="B27" s="45">
        <v>6.7592000000000008</v>
      </c>
      <c r="C27" s="42">
        <v>1.4000000000000001</v>
      </c>
    </row>
    <row r="28" spans="1:3" ht="15" x14ac:dyDescent="0.25">
      <c r="A28" s="55" t="s">
        <v>28</v>
      </c>
      <c r="B28" s="45">
        <v>5.3107999999999995</v>
      </c>
      <c r="C28" s="42">
        <v>1.0999999999999999</v>
      </c>
    </row>
    <row r="29" spans="1:3" ht="15" x14ac:dyDescent="0.25">
      <c r="A29" s="55" t="s">
        <v>126</v>
      </c>
      <c r="B29" s="45">
        <v>5.11768</v>
      </c>
      <c r="C29" s="42">
        <v>1.06</v>
      </c>
    </row>
    <row r="30" spans="1:3" ht="15.75" thickBot="1" x14ac:dyDescent="0.3">
      <c r="A30" s="55" t="s">
        <v>190</v>
      </c>
      <c r="B30" s="45">
        <v>5.0211199999999998</v>
      </c>
      <c r="C30" s="42">
        <v>1.04</v>
      </c>
    </row>
    <row r="31" spans="1:3" ht="15.75" thickBot="1" x14ac:dyDescent="0.3">
      <c r="A31" s="43" t="s">
        <v>15</v>
      </c>
      <c r="B31" s="51">
        <f>SUM(B21:B30)</f>
        <v>163.71748000000002</v>
      </c>
      <c r="C31" s="44">
        <f>SUM(C21:C30)</f>
        <v>33.909999999999997</v>
      </c>
    </row>
    <row r="32" spans="1:3" ht="15.75" thickBot="1" x14ac:dyDescent="0.3">
      <c r="A32" s="41"/>
      <c r="B32" s="45"/>
      <c r="C32" s="42"/>
    </row>
    <row r="33" spans="1:3" ht="15.75" thickBot="1" x14ac:dyDescent="0.3">
      <c r="A33" s="43" t="s">
        <v>138</v>
      </c>
      <c r="B33" s="45"/>
      <c r="C33" s="42"/>
    </row>
    <row r="34" spans="1:3" ht="15" x14ac:dyDescent="0.25">
      <c r="A34" s="55" t="s">
        <v>139</v>
      </c>
      <c r="B34" s="45">
        <v>17.863599999999998</v>
      </c>
      <c r="C34" s="42">
        <v>3.6999999999999997</v>
      </c>
    </row>
    <row r="35" spans="1:3" ht="15" x14ac:dyDescent="0.25">
      <c r="A35" s="55" t="s">
        <v>191</v>
      </c>
      <c r="B35" s="45">
        <v>15.594440000000002</v>
      </c>
      <c r="C35" s="42">
        <v>3.2300000000000004</v>
      </c>
    </row>
    <row r="36" spans="1:3" ht="15" x14ac:dyDescent="0.25">
      <c r="A36" s="55" t="s">
        <v>192</v>
      </c>
      <c r="B36" s="45">
        <v>11.345800000000002</v>
      </c>
      <c r="C36" s="42">
        <v>2.35</v>
      </c>
    </row>
    <row r="37" spans="1:3" ht="15" x14ac:dyDescent="0.25">
      <c r="A37" s="55" t="s">
        <v>182</v>
      </c>
      <c r="B37" s="45">
        <v>10.138800000000002</v>
      </c>
      <c r="C37" s="42">
        <v>2.1</v>
      </c>
    </row>
    <row r="38" spans="1:3" ht="15" x14ac:dyDescent="0.25">
      <c r="A38" s="55" t="s">
        <v>222</v>
      </c>
      <c r="B38" s="45">
        <v>10.138800000000002</v>
      </c>
      <c r="C38" s="42">
        <v>2.1</v>
      </c>
    </row>
    <row r="39" spans="1:3" ht="15" x14ac:dyDescent="0.25">
      <c r="A39" s="55" t="s">
        <v>194</v>
      </c>
      <c r="B39" s="45">
        <v>10.09052</v>
      </c>
      <c r="C39" s="42">
        <v>2.09</v>
      </c>
    </row>
    <row r="40" spans="1:3" ht="15" x14ac:dyDescent="0.25">
      <c r="A40" s="55" t="s">
        <v>193</v>
      </c>
      <c r="B40" s="45">
        <v>10.04224</v>
      </c>
      <c r="C40" s="42">
        <v>2.08</v>
      </c>
    </row>
    <row r="41" spans="1:3" ht="15" x14ac:dyDescent="0.25">
      <c r="A41" s="55" t="s">
        <v>281</v>
      </c>
      <c r="B41" s="45">
        <v>9.9939599999999995</v>
      </c>
      <c r="C41" s="42">
        <v>2.0699999999999998</v>
      </c>
    </row>
    <row r="42" spans="1:3" ht="15" x14ac:dyDescent="0.25">
      <c r="A42" s="55" t="s">
        <v>156</v>
      </c>
      <c r="B42" s="45">
        <v>7.9662000000000015</v>
      </c>
      <c r="C42" s="42">
        <v>1.6500000000000001</v>
      </c>
    </row>
    <row r="43" spans="1:3" ht="15.75" thickBot="1" x14ac:dyDescent="0.3">
      <c r="A43" s="55" t="s">
        <v>151</v>
      </c>
      <c r="B43" s="45">
        <v>7.9661999999999997</v>
      </c>
      <c r="C43" s="42">
        <v>1.65</v>
      </c>
    </row>
    <row r="44" spans="1:3" ht="15.75" thickBot="1" x14ac:dyDescent="0.3">
      <c r="A44" s="43" t="s">
        <v>15</v>
      </c>
      <c r="B44" s="51">
        <f>SUM(B34:B43)</f>
        <v>111.14056000000001</v>
      </c>
      <c r="C44" s="44">
        <f>SUM(C34:C43)</f>
        <v>23.019999999999996</v>
      </c>
    </row>
    <row r="45" spans="1:3" ht="15.75" thickBot="1" x14ac:dyDescent="0.3">
      <c r="A45" s="41"/>
      <c r="B45" s="45"/>
      <c r="C45" s="42"/>
    </row>
    <row r="46" spans="1:3" ht="15.75" thickBot="1" x14ac:dyDescent="0.3">
      <c r="A46" s="43" t="s">
        <v>16</v>
      </c>
      <c r="B46" s="51">
        <v>15.063359999999998</v>
      </c>
      <c r="C46" s="44">
        <v>3.1199999999999997</v>
      </c>
    </row>
    <row r="47" spans="1:3" ht="15.75" thickBot="1" x14ac:dyDescent="0.3">
      <c r="A47" s="41"/>
      <c r="B47" s="45"/>
      <c r="C47" s="42"/>
    </row>
    <row r="48" spans="1:3" ht="15.75" thickBot="1" x14ac:dyDescent="0.3">
      <c r="A48" s="43" t="s">
        <v>17</v>
      </c>
      <c r="B48" s="51">
        <v>82.655360000000016</v>
      </c>
      <c r="C48" s="44">
        <v>17.120000000000005</v>
      </c>
    </row>
    <row r="49" spans="1:3" ht="15.75" thickBot="1" x14ac:dyDescent="0.3">
      <c r="A49" s="41"/>
      <c r="B49" s="45"/>
      <c r="C49" s="42"/>
    </row>
    <row r="50" spans="1:3" ht="15.75" thickBot="1" x14ac:dyDescent="0.3">
      <c r="A50" s="48" t="s">
        <v>18</v>
      </c>
      <c r="B50" s="56">
        <f>SUM(B18,B31,B44,B46,B48)</f>
        <v>482.8</v>
      </c>
      <c r="C50" s="50">
        <f>SUM(C18,C31,C44,C46,C48)</f>
        <v>100</v>
      </c>
    </row>
    <row r="51" spans="1:3" ht="13.5" thickTop="1" x14ac:dyDescent="0.2"/>
  </sheetData>
  <mergeCells count="2">
    <mergeCell ref="A5:A6"/>
    <mergeCell ref="C5:C6"/>
  </mergeCells>
  <hyperlinks>
    <hyperlink ref="A1" location="Index!A1" display="Back to Links" xr:uid="{DC9D89D5-7B88-4E4D-8AEC-2A3859DB28DC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69D6-F171-44C4-BD10-6896D390B932}">
  <dimension ref="A1:D5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61" bestFit="1" customWidth="1"/>
    <col min="2" max="2" width="21.7109375" style="9" customWidth="1"/>
    <col min="3" max="3" width="19.5703125" style="9" customWidth="1"/>
    <col min="4" max="4" width="17" customWidth="1"/>
    <col min="5" max="5" width="10" bestFit="1" customWidth="1"/>
  </cols>
  <sheetData>
    <row r="1" spans="1:4" ht="15" customHeight="1" x14ac:dyDescent="0.2">
      <c r="A1" s="34" t="s">
        <v>2</v>
      </c>
      <c r="B1" s="3"/>
      <c r="C1" s="3"/>
      <c r="D1" s="7"/>
    </row>
    <row r="2" spans="1:4" s="15" customFormat="1" ht="18.75" customHeight="1" thickBot="1" x14ac:dyDescent="0.3">
      <c r="A2" s="19" t="s">
        <v>60</v>
      </c>
      <c r="B2" s="28"/>
      <c r="C2" s="28"/>
      <c r="D2" s="14"/>
    </row>
    <row r="3" spans="1:4" s="18" customFormat="1" ht="30" customHeight="1" thickBot="1" x14ac:dyDescent="0.25">
      <c r="A3" s="20" t="s">
        <v>314</v>
      </c>
      <c r="B3" s="3"/>
      <c r="C3" s="3"/>
    </row>
    <row r="4" spans="1:4" s="15" customFormat="1" ht="16.5" customHeight="1" thickBot="1" x14ac:dyDescent="0.3">
      <c r="A4" s="16"/>
      <c r="B4" s="28"/>
      <c r="C4" s="28"/>
    </row>
    <row r="5" spans="1:4" s="15" customFormat="1" ht="16.5" customHeight="1" thickTop="1" thickBot="1" x14ac:dyDescent="0.3">
      <c r="A5" s="63" t="s">
        <v>3</v>
      </c>
      <c r="B5" s="8" t="s">
        <v>4</v>
      </c>
      <c r="C5" s="65" t="s">
        <v>5</v>
      </c>
    </row>
    <row r="6" spans="1:4" ht="16.5" customHeight="1" thickTop="1" thickBot="1" x14ac:dyDescent="0.25">
      <c r="A6" s="64"/>
      <c r="B6" s="10" t="s">
        <v>6</v>
      </c>
      <c r="C6" s="66"/>
    </row>
    <row r="7" spans="1:4" ht="13.5" customHeight="1" thickTop="1" thickBot="1" x14ac:dyDescent="0.3">
      <c r="A7" s="43" t="s">
        <v>19</v>
      </c>
      <c r="B7" s="45"/>
      <c r="C7" s="42"/>
    </row>
    <row r="8" spans="1:4" ht="15" x14ac:dyDescent="0.25">
      <c r="A8" s="41" t="s">
        <v>7</v>
      </c>
      <c r="B8" s="45">
        <v>13.454079999999999</v>
      </c>
      <c r="C8" s="42">
        <v>1.8399999999999999</v>
      </c>
    </row>
    <row r="9" spans="1:4" ht="15" x14ac:dyDescent="0.25">
      <c r="A9" s="41" t="s">
        <v>29</v>
      </c>
      <c r="B9" s="45">
        <v>10.456160000000001</v>
      </c>
      <c r="C9" s="42">
        <v>1.43</v>
      </c>
    </row>
    <row r="10" spans="1:4" ht="15" x14ac:dyDescent="0.25">
      <c r="A10" s="41" t="s">
        <v>8</v>
      </c>
      <c r="B10" s="45">
        <v>9.21312</v>
      </c>
      <c r="C10" s="42">
        <v>1.26</v>
      </c>
    </row>
    <row r="11" spans="1:4" ht="15" x14ac:dyDescent="0.25">
      <c r="A11" s="41" t="s">
        <v>9</v>
      </c>
      <c r="B11" s="45">
        <v>9.21312</v>
      </c>
      <c r="C11" s="42">
        <v>1.26</v>
      </c>
    </row>
    <row r="12" spans="1:4" ht="15" x14ac:dyDescent="0.25">
      <c r="A12" s="41" t="s">
        <v>25</v>
      </c>
      <c r="B12" s="45">
        <v>7.8969600000000018</v>
      </c>
      <c r="C12" s="42">
        <v>1.08</v>
      </c>
    </row>
    <row r="13" spans="1:4" ht="15" x14ac:dyDescent="0.25">
      <c r="A13" s="41" t="s">
        <v>12</v>
      </c>
      <c r="B13" s="45">
        <v>6.7270399999999997</v>
      </c>
      <c r="C13" s="42">
        <v>0.91999999999999993</v>
      </c>
    </row>
    <row r="14" spans="1:4" ht="15" x14ac:dyDescent="0.25">
      <c r="A14" s="41" t="s">
        <v>10</v>
      </c>
      <c r="B14" s="45">
        <v>5.9227200000000009</v>
      </c>
      <c r="C14" s="42">
        <v>0.80999999999999994</v>
      </c>
    </row>
    <row r="15" spans="1:4" ht="15" x14ac:dyDescent="0.25">
      <c r="A15" s="41" t="s">
        <v>95</v>
      </c>
      <c r="B15" s="45">
        <v>5.2646400000000009</v>
      </c>
      <c r="C15" s="42">
        <v>0.72</v>
      </c>
    </row>
    <row r="16" spans="1:4" ht="15" x14ac:dyDescent="0.25">
      <c r="A16" s="41" t="s">
        <v>11</v>
      </c>
      <c r="B16" s="45">
        <v>5.04528</v>
      </c>
      <c r="C16" s="42">
        <v>0.69</v>
      </c>
    </row>
    <row r="17" spans="1:3" ht="15.75" thickBot="1" x14ac:dyDescent="0.3">
      <c r="A17" s="41" t="s">
        <v>38</v>
      </c>
      <c r="B17" s="45">
        <v>4.4603200000000003</v>
      </c>
      <c r="C17" s="42">
        <v>0.61</v>
      </c>
    </row>
    <row r="18" spans="1:3" ht="15.75" thickBot="1" x14ac:dyDescent="0.3">
      <c r="A18" s="43" t="s">
        <v>15</v>
      </c>
      <c r="B18" s="51">
        <f>SUM(B8:B17)</f>
        <v>77.653440000000018</v>
      </c>
      <c r="C18" s="44">
        <f>SUM(C8:C17)</f>
        <v>10.62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137</v>
      </c>
      <c r="B20" s="45"/>
      <c r="C20" s="42"/>
    </row>
    <row r="21" spans="1:3" ht="15" x14ac:dyDescent="0.25">
      <c r="A21" s="55" t="s">
        <v>22</v>
      </c>
      <c r="B21" s="45">
        <v>76.264160000000004</v>
      </c>
      <c r="C21" s="42">
        <v>10.43</v>
      </c>
    </row>
    <row r="22" spans="1:3" ht="15" x14ac:dyDescent="0.25">
      <c r="A22" s="55" t="s">
        <v>160</v>
      </c>
      <c r="B22" s="45">
        <v>52.13456</v>
      </c>
      <c r="C22" s="42">
        <v>7.13</v>
      </c>
    </row>
    <row r="23" spans="1:3" ht="15" x14ac:dyDescent="0.25">
      <c r="A23" s="55" t="s">
        <v>264</v>
      </c>
      <c r="B23" s="45">
        <v>45.261279999999999</v>
      </c>
      <c r="C23" s="42">
        <v>6.1899999999999995</v>
      </c>
    </row>
    <row r="24" spans="1:3" ht="15" x14ac:dyDescent="0.25">
      <c r="A24" s="55" t="s">
        <v>126</v>
      </c>
      <c r="B24" s="45">
        <v>44.530079999999998</v>
      </c>
      <c r="C24" s="42">
        <v>6.09</v>
      </c>
    </row>
    <row r="25" spans="1:3" ht="15" x14ac:dyDescent="0.25">
      <c r="A25" s="55" t="s">
        <v>244</v>
      </c>
      <c r="B25" s="45">
        <v>39.923520000000003</v>
      </c>
      <c r="C25" s="42">
        <v>5.46</v>
      </c>
    </row>
    <row r="26" spans="1:3" ht="15" x14ac:dyDescent="0.25">
      <c r="A26" s="55" t="s">
        <v>149</v>
      </c>
      <c r="B26" s="45">
        <v>22.447840000000006</v>
      </c>
      <c r="C26" s="42">
        <v>3.0700000000000003</v>
      </c>
    </row>
    <row r="27" spans="1:3" ht="15" x14ac:dyDescent="0.25">
      <c r="A27" s="55" t="s">
        <v>195</v>
      </c>
      <c r="B27" s="45">
        <v>19.011200000000002</v>
      </c>
      <c r="C27" s="42">
        <v>2.6</v>
      </c>
    </row>
    <row r="28" spans="1:3" ht="15" x14ac:dyDescent="0.25">
      <c r="A28" s="55" t="s">
        <v>163</v>
      </c>
      <c r="B28" s="45">
        <v>4.2409600000000003</v>
      </c>
      <c r="C28" s="42">
        <v>0.57999999999999996</v>
      </c>
    </row>
    <row r="29" spans="1:3" ht="15" x14ac:dyDescent="0.25">
      <c r="A29" s="55" t="s">
        <v>219</v>
      </c>
      <c r="B29" s="45">
        <v>3.2903999999999995</v>
      </c>
      <c r="C29" s="42">
        <v>0.44999999999999996</v>
      </c>
    </row>
    <row r="30" spans="1:3" ht="15.75" thickBot="1" x14ac:dyDescent="0.3">
      <c r="A30" s="55" t="s">
        <v>175</v>
      </c>
      <c r="B30" s="45">
        <v>3.2172800000000001</v>
      </c>
      <c r="C30" s="42">
        <v>0.44</v>
      </c>
    </row>
    <row r="31" spans="1:3" ht="15.75" thickBot="1" x14ac:dyDescent="0.3">
      <c r="A31" s="43" t="s">
        <v>15</v>
      </c>
      <c r="B31" s="51">
        <f>SUM(B21:B30)</f>
        <v>310.32127999999994</v>
      </c>
      <c r="C31" s="44">
        <f>SUM(C21:C30)</f>
        <v>42.44</v>
      </c>
    </row>
    <row r="32" spans="1:3" ht="15.75" thickBot="1" x14ac:dyDescent="0.3">
      <c r="A32" s="41"/>
      <c r="B32" s="45"/>
      <c r="C32" s="42"/>
    </row>
    <row r="33" spans="1:3" ht="15.75" thickBot="1" x14ac:dyDescent="0.3">
      <c r="A33" s="43" t="s">
        <v>23</v>
      </c>
      <c r="B33" s="45"/>
      <c r="C33" s="42"/>
    </row>
    <row r="34" spans="1:3" ht="15" x14ac:dyDescent="0.25">
      <c r="A34" s="55" t="s">
        <v>166</v>
      </c>
      <c r="B34" s="45">
        <v>43.067680000000003</v>
      </c>
      <c r="C34" s="42">
        <v>5.89</v>
      </c>
    </row>
    <row r="35" spans="1:3" ht="15" x14ac:dyDescent="0.25">
      <c r="A35" s="55" t="s">
        <v>223</v>
      </c>
      <c r="B35" s="45">
        <v>29.832960000000003</v>
      </c>
      <c r="C35" s="42">
        <v>4.08</v>
      </c>
    </row>
    <row r="36" spans="1:3" ht="15" x14ac:dyDescent="0.25">
      <c r="A36" s="55" t="s">
        <v>189</v>
      </c>
      <c r="B36" s="45">
        <v>27.858720000000002</v>
      </c>
      <c r="C36" s="42">
        <v>3.81</v>
      </c>
    </row>
    <row r="37" spans="1:3" ht="15" x14ac:dyDescent="0.25">
      <c r="A37" s="55" t="s">
        <v>151</v>
      </c>
      <c r="B37" s="45">
        <v>25.957600000000003</v>
      </c>
      <c r="C37" s="42">
        <v>3.55</v>
      </c>
    </row>
    <row r="38" spans="1:3" ht="15" x14ac:dyDescent="0.25">
      <c r="A38" s="55" t="s">
        <v>169</v>
      </c>
      <c r="B38" s="45">
        <v>21.49728</v>
      </c>
      <c r="C38" s="42">
        <v>2.94</v>
      </c>
    </row>
    <row r="39" spans="1:3" ht="15" x14ac:dyDescent="0.25">
      <c r="A39" s="55" t="s">
        <v>162</v>
      </c>
      <c r="B39" s="45">
        <v>20.766080000000002</v>
      </c>
      <c r="C39" s="42">
        <v>2.8400000000000003</v>
      </c>
    </row>
    <row r="40" spans="1:3" ht="15" x14ac:dyDescent="0.25">
      <c r="A40" s="55" t="s">
        <v>276</v>
      </c>
      <c r="B40" s="45">
        <v>15.208960000000001</v>
      </c>
      <c r="C40" s="42">
        <v>2.08</v>
      </c>
    </row>
    <row r="41" spans="1:3" ht="15" x14ac:dyDescent="0.25">
      <c r="A41" s="55" t="s">
        <v>196</v>
      </c>
      <c r="B41" s="45">
        <v>12.503520000000002</v>
      </c>
      <c r="C41" s="42">
        <v>1.71</v>
      </c>
    </row>
    <row r="42" spans="1:3" ht="15" x14ac:dyDescent="0.25">
      <c r="A42" s="55" t="s">
        <v>222</v>
      </c>
      <c r="B42" s="45">
        <v>10.163679999999999</v>
      </c>
      <c r="C42" s="42">
        <v>1.39</v>
      </c>
    </row>
    <row r="43" spans="1:3" ht="15.75" thickBot="1" x14ac:dyDescent="0.3">
      <c r="A43" s="55" t="s">
        <v>156</v>
      </c>
      <c r="B43" s="45">
        <v>9.9443199999999994</v>
      </c>
      <c r="C43" s="42">
        <v>1.3599999999999999</v>
      </c>
    </row>
    <row r="44" spans="1:3" ht="15.75" thickBot="1" x14ac:dyDescent="0.3">
      <c r="A44" s="43" t="s">
        <v>15</v>
      </c>
      <c r="B44" s="51">
        <f>SUM(B34:B43)</f>
        <v>216.80080000000001</v>
      </c>
      <c r="C44" s="44">
        <f>SUM(C34:C43)</f>
        <v>29.65</v>
      </c>
    </row>
    <row r="45" spans="1:3" ht="15.75" thickBot="1" x14ac:dyDescent="0.3">
      <c r="A45" s="41"/>
      <c r="B45" s="45"/>
      <c r="C45" s="42"/>
    </row>
    <row r="46" spans="1:3" ht="15.75" thickBot="1" x14ac:dyDescent="0.3">
      <c r="A46" s="43" t="s">
        <v>16</v>
      </c>
      <c r="B46" s="51">
        <v>28.297440000000002</v>
      </c>
      <c r="C46" s="44">
        <v>3.8699999999999997</v>
      </c>
    </row>
    <row r="47" spans="1:3" ht="15.75" thickBot="1" x14ac:dyDescent="0.3">
      <c r="A47" s="41"/>
      <c r="B47" s="45"/>
      <c r="C47" s="42"/>
    </row>
    <row r="48" spans="1:3" ht="15.75" thickBot="1" x14ac:dyDescent="0.3">
      <c r="A48" s="43" t="s">
        <v>17</v>
      </c>
      <c r="B48" s="51">
        <v>98.127040000000122</v>
      </c>
      <c r="C48" s="44">
        <v>13.420000000000016</v>
      </c>
    </row>
    <row r="49" spans="1:3" ht="15.75" thickBot="1" x14ac:dyDescent="0.3">
      <c r="A49" s="41"/>
      <c r="B49" s="45"/>
      <c r="C49" s="42"/>
    </row>
    <row r="50" spans="1:3" ht="15.75" thickBot="1" x14ac:dyDescent="0.3">
      <c r="A50" s="48" t="s">
        <v>18</v>
      </c>
      <c r="B50" s="56">
        <f>SUM(B18,B31,B44,B46,B48)</f>
        <v>731.2</v>
      </c>
      <c r="C50" s="50">
        <f>SUM(C18,C31,C44,C46,C48)</f>
        <v>100.00000000000001</v>
      </c>
    </row>
  </sheetData>
  <mergeCells count="2">
    <mergeCell ref="A5:A6"/>
    <mergeCell ref="C5:C6"/>
  </mergeCells>
  <hyperlinks>
    <hyperlink ref="A1" location="Index!A1" display="Back to Links" xr:uid="{6C3D1A38-FEA9-481C-BDF1-F3B3AB39EB73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30DE-76A0-44A7-9939-872B488BCF3B}">
  <dimension ref="A1:G4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61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316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  <c r="E6" s="9"/>
    </row>
    <row r="7" spans="1:7" ht="13.5" customHeight="1" thickTop="1" thickBot="1" x14ac:dyDescent="0.3">
      <c r="A7" s="43" t="s">
        <v>19</v>
      </c>
      <c r="B7" s="45"/>
      <c r="C7" s="42"/>
    </row>
    <row r="8" spans="1:7" ht="15" x14ac:dyDescent="0.25">
      <c r="A8" s="41" t="s">
        <v>7</v>
      </c>
      <c r="B8" s="45">
        <v>0.34649999999999997</v>
      </c>
      <c r="C8" s="42">
        <v>1.0999999999999999</v>
      </c>
    </row>
    <row r="9" spans="1:7" ht="15" x14ac:dyDescent="0.25">
      <c r="A9" s="41" t="s">
        <v>8</v>
      </c>
      <c r="B9" s="45">
        <v>0.29610000000000003</v>
      </c>
      <c r="C9" s="42">
        <v>0.94000000000000006</v>
      </c>
    </row>
    <row r="10" spans="1:7" ht="15" x14ac:dyDescent="0.25">
      <c r="A10" s="41" t="s">
        <v>29</v>
      </c>
      <c r="B10" s="45">
        <v>0.27404999999999996</v>
      </c>
      <c r="C10" s="42">
        <v>0.86999999999999988</v>
      </c>
    </row>
    <row r="11" spans="1:7" ht="15" x14ac:dyDescent="0.25">
      <c r="A11" s="41" t="s">
        <v>13</v>
      </c>
      <c r="B11" s="45">
        <v>0.20475000000000002</v>
      </c>
      <c r="C11" s="42">
        <v>0.65</v>
      </c>
    </row>
    <row r="12" spans="1:7" ht="15" x14ac:dyDescent="0.25">
      <c r="A12" s="41" t="s">
        <v>24</v>
      </c>
      <c r="B12" s="45">
        <v>0.2016</v>
      </c>
      <c r="C12" s="42">
        <v>0.64</v>
      </c>
    </row>
    <row r="13" spans="1:7" ht="15" x14ac:dyDescent="0.25">
      <c r="A13" s="41" t="s">
        <v>9</v>
      </c>
      <c r="B13" s="45">
        <v>0.19214999999999999</v>
      </c>
      <c r="C13" s="42">
        <v>0.61</v>
      </c>
    </row>
    <row r="14" spans="1:7" ht="15" x14ac:dyDescent="0.25">
      <c r="A14" s="41" t="s">
        <v>92</v>
      </c>
      <c r="B14" s="45">
        <v>0.1638</v>
      </c>
      <c r="C14" s="42">
        <v>0.52</v>
      </c>
    </row>
    <row r="15" spans="1:7" ht="15" x14ac:dyDescent="0.25">
      <c r="A15" s="41" t="s">
        <v>11</v>
      </c>
      <c r="B15" s="45">
        <v>0.14489999999999997</v>
      </c>
      <c r="C15" s="42">
        <v>0.45999999999999996</v>
      </c>
    </row>
    <row r="16" spans="1:7" ht="15" x14ac:dyDescent="0.25">
      <c r="A16" s="41" t="s">
        <v>10</v>
      </c>
      <c r="B16" s="45">
        <v>0.14174999999999999</v>
      </c>
      <c r="C16" s="42">
        <v>0.44999999999999996</v>
      </c>
    </row>
    <row r="17" spans="1:3" ht="15" x14ac:dyDescent="0.25">
      <c r="A17" s="41" t="s">
        <v>12</v>
      </c>
      <c r="B17" s="45">
        <v>0.10395000000000001</v>
      </c>
      <c r="C17" s="42">
        <v>0.33</v>
      </c>
    </row>
    <row r="18" spans="1:3" ht="15" x14ac:dyDescent="0.25">
      <c r="A18" s="43" t="s">
        <v>15</v>
      </c>
      <c r="B18" s="51">
        <f>SUM(B8:B17)</f>
        <v>2.06955</v>
      </c>
      <c r="C18" s="51">
        <f>SUM(C8:C17)</f>
        <v>6.57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137</v>
      </c>
      <c r="B20" s="45"/>
      <c r="C20" s="42"/>
    </row>
    <row r="21" spans="1:3" ht="15" x14ac:dyDescent="0.25">
      <c r="A21" s="55" t="s">
        <v>160</v>
      </c>
      <c r="B21" s="45">
        <v>5.7266999999999992</v>
      </c>
      <c r="C21" s="42">
        <v>18.18</v>
      </c>
    </row>
    <row r="22" spans="1:3" ht="15" x14ac:dyDescent="0.25">
      <c r="A22" s="55" t="s">
        <v>219</v>
      </c>
      <c r="B22" s="45">
        <v>4.60215</v>
      </c>
      <c r="C22" s="42">
        <v>14.610000000000001</v>
      </c>
    </row>
    <row r="23" spans="1:3" ht="15" x14ac:dyDescent="0.25">
      <c r="A23" s="55" t="s">
        <v>264</v>
      </c>
      <c r="B23" s="45">
        <v>4.0887000000000002</v>
      </c>
      <c r="C23" s="42">
        <v>12.98</v>
      </c>
    </row>
    <row r="24" spans="1:3" ht="15" x14ac:dyDescent="0.25">
      <c r="A24" s="55" t="s">
        <v>149</v>
      </c>
      <c r="B24" s="45">
        <v>2.0916000000000001</v>
      </c>
      <c r="C24" s="42">
        <v>6.64</v>
      </c>
    </row>
    <row r="25" spans="1:3" ht="15" x14ac:dyDescent="0.25">
      <c r="A25" s="55" t="s">
        <v>273</v>
      </c>
      <c r="B25" s="45">
        <v>1.5119999999999998</v>
      </c>
      <c r="C25" s="42">
        <v>4.8</v>
      </c>
    </row>
    <row r="26" spans="1:3" ht="15" x14ac:dyDescent="0.25">
      <c r="A26" s="55" t="s">
        <v>28</v>
      </c>
      <c r="B26" s="45">
        <v>1.10565</v>
      </c>
      <c r="C26" s="42">
        <v>3.51</v>
      </c>
    </row>
    <row r="27" spans="1:3" ht="15" x14ac:dyDescent="0.25">
      <c r="A27" s="55" t="s">
        <v>244</v>
      </c>
      <c r="B27" s="45">
        <v>0.48825000000000002</v>
      </c>
      <c r="C27" s="42">
        <v>1.55</v>
      </c>
    </row>
    <row r="28" spans="1:3" ht="15" x14ac:dyDescent="0.25">
      <c r="A28" s="55" t="s">
        <v>37</v>
      </c>
      <c r="B28" s="45">
        <v>0.46619999999999995</v>
      </c>
      <c r="C28" s="42">
        <v>1.48</v>
      </c>
    </row>
    <row r="29" spans="1:3" ht="15" x14ac:dyDescent="0.25">
      <c r="A29" s="55" t="s">
        <v>112</v>
      </c>
      <c r="B29" s="45">
        <v>0.37485000000000007</v>
      </c>
      <c r="C29" s="42">
        <v>1.1900000000000002</v>
      </c>
    </row>
    <row r="30" spans="1:3" ht="15.75" thickBot="1" x14ac:dyDescent="0.3">
      <c r="A30" s="55" t="s">
        <v>175</v>
      </c>
      <c r="B30" s="45">
        <v>0.10709999999999999</v>
      </c>
      <c r="C30" s="42">
        <v>0.33999999999999997</v>
      </c>
    </row>
    <row r="31" spans="1:3" ht="15.75" thickBot="1" x14ac:dyDescent="0.3">
      <c r="A31" s="43" t="s">
        <v>15</v>
      </c>
      <c r="B31" s="51">
        <f>SUM(B21:B30)</f>
        <v>20.563199999999998</v>
      </c>
      <c r="C31" s="51">
        <f>SUM(C21:C30)</f>
        <v>65.279999999999987</v>
      </c>
    </row>
    <row r="32" spans="1:3" ht="15.75" thickBot="1" x14ac:dyDescent="0.3">
      <c r="A32" s="41"/>
      <c r="B32" s="45"/>
      <c r="C32" s="42"/>
    </row>
    <row r="33" spans="1:3" ht="15.75" thickBot="1" x14ac:dyDescent="0.3">
      <c r="A33" s="43" t="s">
        <v>23</v>
      </c>
      <c r="B33" s="45"/>
      <c r="C33" s="42"/>
    </row>
    <row r="34" spans="1:3" s="22" customFormat="1" ht="15" x14ac:dyDescent="0.25">
      <c r="A34" s="55" t="s">
        <v>192</v>
      </c>
      <c r="B34" s="45">
        <v>2.06325</v>
      </c>
      <c r="C34" s="42">
        <v>6.5500000000000007</v>
      </c>
    </row>
    <row r="35" spans="1:3" s="22" customFormat="1" ht="15" x14ac:dyDescent="0.25">
      <c r="A35" s="55" t="s">
        <v>182</v>
      </c>
      <c r="B35" s="45">
        <v>1.0143</v>
      </c>
      <c r="C35" s="42">
        <v>3.2199999999999998</v>
      </c>
    </row>
    <row r="36" spans="1:3" s="22" customFormat="1" ht="15" x14ac:dyDescent="0.25">
      <c r="A36" s="55" t="s">
        <v>197</v>
      </c>
      <c r="B36" s="45">
        <v>1.0111499999999998</v>
      </c>
      <c r="C36" s="42">
        <v>3.2099999999999995</v>
      </c>
    </row>
    <row r="37" spans="1:3" s="22" customFormat="1" ht="15" x14ac:dyDescent="0.25">
      <c r="A37" s="55" t="s">
        <v>169</v>
      </c>
      <c r="B37" s="45">
        <v>0.30554999999999999</v>
      </c>
      <c r="C37" s="42">
        <v>0.97</v>
      </c>
    </row>
    <row r="38" spans="1:3" s="22" customFormat="1" ht="15.75" thickBot="1" x14ac:dyDescent="0.3">
      <c r="A38" s="55" t="s">
        <v>315</v>
      </c>
      <c r="B38" s="45">
        <v>0.3024</v>
      </c>
      <c r="C38" s="42">
        <v>0.96</v>
      </c>
    </row>
    <row r="39" spans="1:3" ht="15.75" thickBot="1" x14ac:dyDescent="0.3">
      <c r="A39" s="43" t="s">
        <v>15</v>
      </c>
      <c r="B39" s="51">
        <f>SUM(B34:B38)</f>
        <v>4.69665</v>
      </c>
      <c r="C39" s="44">
        <f>SUM(C34:C38)</f>
        <v>14.91</v>
      </c>
    </row>
    <row r="40" spans="1:3" ht="15" x14ac:dyDescent="0.25">
      <c r="A40" s="41"/>
      <c r="B40" s="45"/>
      <c r="C40" s="42"/>
    </row>
    <row r="41" spans="1:3" ht="15" x14ac:dyDescent="0.25">
      <c r="A41" s="43" t="s">
        <v>16</v>
      </c>
      <c r="B41" s="51">
        <v>2.8696499999999996</v>
      </c>
      <c r="C41" s="44">
        <v>9.11</v>
      </c>
    </row>
    <row r="42" spans="1:3" ht="15" x14ac:dyDescent="0.25">
      <c r="A42" s="41"/>
      <c r="B42" s="45"/>
      <c r="C42" s="42"/>
    </row>
    <row r="43" spans="1:3" ht="15" x14ac:dyDescent="0.25">
      <c r="A43" s="43" t="s">
        <v>17</v>
      </c>
      <c r="B43" s="51">
        <v>1.3009500000000032</v>
      </c>
      <c r="C43" s="44">
        <v>4.1300000000000097</v>
      </c>
    </row>
    <row r="44" spans="1:3" ht="15" x14ac:dyDescent="0.25">
      <c r="A44" s="41"/>
      <c r="B44" s="45"/>
      <c r="C44" s="42"/>
    </row>
    <row r="45" spans="1:3" ht="15" x14ac:dyDescent="0.25">
      <c r="A45" s="48" t="s">
        <v>18</v>
      </c>
      <c r="B45" s="56">
        <f>SUM(B18,B39,B41,B43,B31)</f>
        <v>31.5</v>
      </c>
      <c r="C45" s="50">
        <f>SUM(C18,C39,C41,C43,C31)</f>
        <v>100</v>
      </c>
    </row>
  </sheetData>
  <mergeCells count="2">
    <mergeCell ref="A5:A6"/>
    <mergeCell ref="C5:C6"/>
  </mergeCells>
  <hyperlinks>
    <hyperlink ref="A1" location="Index!A1" display="Back to Links" xr:uid="{4537C7EB-5C1F-4EAC-A50A-750274411D53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F3FF-B32E-473A-91B1-1FEEE664CD64}">
  <dimension ref="A1:G37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62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317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  <c r="E5" s="26"/>
    </row>
    <row r="6" spans="1:7" ht="16.5" customHeight="1" thickTop="1" thickBot="1" x14ac:dyDescent="0.25">
      <c r="A6" s="64"/>
      <c r="B6" s="10" t="s">
        <v>6</v>
      </c>
      <c r="C6" s="66"/>
      <c r="E6" s="9"/>
    </row>
    <row r="7" spans="1:7" ht="13.5" customHeight="1" thickTop="1" x14ac:dyDescent="0.25">
      <c r="A7" s="43" t="s">
        <v>21</v>
      </c>
      <c r="B7" s="45"/>
      <c r="C7" s="42"/>
    </row>
    <row r="8" spans="1:7" ht="15" x14ac:dyDescent="0.25">
      <c r="A8" s="55" t="s">
        <v>244</v>
      </c>
      <c r="B8" s="45">
        <v>40.317</v>
      </c>
      <c r="C8" s="42">
        <v>18.12</v>
      </c>
    </row>
    <row r="9" spans="1:7" ht="15" x14ac:dyDescent="0.25">
      <c r="A9" s="55" t="s">
        <v>264</v>
      </c>
      <c r="B9" s="45">
        <v>27.656749999999999</v>
      </c>
      <c r="C9" s="42">
        <v>12.43</v>
      </c>
    </row>
    <row r="10" spans="1:7" ht="15" x14ac:dyDescent="0.25">
      <c r="A10" s="55" t="s">
        <v>219</v>
      </c>
      <c r="B10" s="45">
        <v>23.406999999999996</v>
      </c>
      <c r="C10" s="42">
        <v>10.52</v>
      </c>
    </row>
    <row r="11" spans="1:7" ht="15" x14ac:dyDescent="0.25">
      <c r="A11" s="55" t="s">
        <v>160</v>
      </c>
      <c r="B11" s="45">
        <v>21.293249999999997</v>
      </c>
      <c r="C11" s="42">
        <v>9.5699999999999985</v>
      </c>
    </row>
    <row r="12" spans="1:7" ht="15" x14ac:dyDescent="0.25">
      <c r="A12" s="55" t="s">
        <v>224</v>
      </c>
      <c r="B12" s="45">
        <v>13.861750000000002</v>
      </c>
      <c r="C12" s="42">
        <v>6.23</v>
      </c>
    </row>
    <row r="13" spans="1:7" ht="15" x14ac:dyDescent="0.25">
      <c r="A13" s="55" t="s">
        <v>170</v>
      </c>
      <c r="B13" s="45">
        <v>4.2720000000000002</v>
      </c>
      <c r="C13" s="42">
        <v>1.92</v>
      </c>
    </row>
    <row r="14" spans="1:7" ht="15" x14ac:dyDescent="0.25">
      <c r="A14" s="55" t="s">
        <v>26</v>
      </c>
      <c r="B14" s="45">
        <v>1.5797500000000002</v>
      </c>
      <c r="C14" s="42">
        <v>0.71000000000000008</v>
      </c>
    </row>
    <row r="15" spans="1:7" ht="15" x14ac:dyDescent="0.25">
      <c r="A15" s="55" t="s">
        <v>163</v>
      </c>
      <c r="B15" s="45">
        <v>1.0234999999999999</v>
      </c>
      <c r="C15" s="42">
        <v>0.45999999999999996</v>
      </c>
    </row>
    <row r="16" spans="1:7" ht="15" x14ac:dyDescent="0.25">
      <c r="A16" s="55" t="s">
        <v>200</v>
      </c>
      <c r="B16" s="45">
        <v>0.77875000000000016</v>
      </c>
      <c r="C16" s="42">
        <v>0.35000000000000003</v>
      </c>
    </row>
    <row r="17" spans="1:3" ht="15" x14ac:dyDescent="0.25">
      <c r="A17" s="55" t="s">
        <v>175</v>
      </c>
      <c r="B17" s="45">
        <v>0.57850000000000001</v>
      </c>
      <c r="C17" s="42">
        <v>0.26</v>
      </c>
    </row>
    <row r="18" spans="1:3" ht="15" x14ac:dyDescent="0.25">
      <c r="A18" s="43" t="s">
        <v>15</v>
      </c>
      <c r="B18" s="51">
        <f>SUM(B8:B17)</f>
        <v>134.76824999999999</v>
      </c>
      <c r="C18" s="44">
        <f>SUM(C8:C17)</f>
        <v>60.570000000000007</v>
      </c>
    </row>
    <row r="19" spans="1:3" ht="15" x14ac:dyDescent="0.25">
      <c r="A19" s="41"/>
      <c r="B19" s="45"/>
      <c r="C19" s="42"/>
    </row>
    <row r="20" spans="1:3" ht="15" x14ac:dyDescent="0.25">
      <c r="A20" s="43" t="s">
        <v>23</v>
      </c>
      <c r="B20" s="45"/>
      <c r="C20" s="42"/>
    </row>
    <row r="21" spans="1:3" ht="15" x14ac:dyDescent="0.25">
      <c r="A21" s="55" t="s">
        <v>156</v>
      </c>
      <c r="B21" s="45">
        <v>13.972999999999999</v>
      </c>
      <c r="C21" s="42">
        <v>6.2799999999999994</v>
      </c>
    </row>
    <row r="22" spans="1:3" ht="15" x14ac:dyDescent="0.25">
      <c r="A22" s="55" t="s">
        <v>162</v>
      </c>
      <c r="B22" s="45">
        <v>10.368500000000001</v>
      </c>
      <c r="C22" s="42">
        <v>4.66</v>
      </c>
    </row>
    <row r="23" spans="1:3" ht="15" x14ac:dyDescent="0.25">
      <c r="A23" s="55" t="s">
        <v>222</v>
      </c>
      <c r="B23" s="45">
        <v>10.146000000000001</v>
      </c>
      <c r="C23" s="42">
        <v>4.5600000000000005</v>
      </c>
    </row>
    <row r="24" spans="1:3" ht="15" x14ac:dyDescent="0.25">
      <c r="A24" s="55" t="s">
        <v>223</v>
      </c>
      <c r="B24" s="45">
        <v>9.9679999999999982</v>
      </c>
      <c r="C24" s="42">
        <v>4.4799999999999995</v>
      </c>
    </row>
    <row r="25" spans="1:3" ht="15" x14ac:dyDescent="0.25">
      <c r="A25" s="55" t="s">
        <v>139</v>
      </c>
      <c r="B25" s="45">
        <v>7.9432500000000008</v>
      </c>
      <c r="C25" s="42">
        <v>3.5700000000000003</v>
      </c>
    </row>
    <row r="26" spans="1:3" ht="15" x14ac:dyDescent="0.25">
      <c r="A26" s="55" t="s">
        <v>192</v>
      </c>
      <c r="B26" s="45">
        <v>5.161999999999999</v>
      </c>
      <c r="C26" s="42">
        <v>2.3199999999999998</v>
      </c>
    </row>
    <row r="27" spans="1:3" ht="15" x14ac:dyDescent="0.25">
      <c r="A27" s="55" t="s">
        <v>246</v>
      </c>
      <c r="B27" s="45">
        <v>5.0284999999999993</v>
      </c>
      <c r="C27" s="42">
        <v>2.2599999999999998</v>
      </c>
    </row>
    <row r="28" spans="1:3" ht="15" x14ac:dyDescent="0.25">
      <c r="A28" s="55" t="s">
        <v>151</v>
      </c>
      <c r="B28" s="45">
        <v>3.9827500000000002</v>
      </c>
      <c r="C28" s="42">
        <v>1.79</v>
      </c>
    </row>
    <row r="29" spans="1:3" ht="15" x14ac:dyDescent="0.25">
      <c r="A29" s="55" t="s">
        <v>184</v>
      </c>
      <c r="B29" s="45">
        <v>3.0482500000000003</v>
      </c>
      <c r="C29" s="42">
        <v>1.37</v>
      </c>
    </row>
    <row r="30" spans="1:3" ht="15.75" thickBot="1" x14ac:dyDescent="0.3">
      <c r="A30" s="41" t="s">
        <v>173</v>
      </c>
      <c r="B30" s="45">
        <v>2.6922499999999996</v>
      </c>
      <c r="C30" s="42">
        <v>1.21</v>
      </c>
    </row>
    <row r="31" spans="1:3" ht="15.75" thickBot="1" x14ac:dyDescent="0.3">
      <c r="A31" s="43" t="s">
        <v>15</v>
      </c>
      <c r="B31" s="51">
        <f>SUM(B21:B30)</f>
        <v>72.312499999999986</v>
      </c>
      <c r="C31" s="44">
        <f>SUM(C21:C30)</f>
        <v>32.5</v>
      </c>
    </row>
    <row r="32" spans="1:3" ht="15" x14ac:dyDescent="0.25">
      <c r="A32" s="41"/>
      <c r="B32" s="45"/>
      <c r="C32" s="42"/>
    </row>
    <row r="33" spans="1:3" ht="15" x14ac:dyDescent="0.25">
      <c r="A33" s="43" t="s">
        <v>16</v>
      </c>
      <c r="B33" s="51">
        <v>12.126250000000001</v>
      </c>
      <c r="C33" s="44">
        <v>5.45</v>
      </c>
    </row>
    <row r="34" spans="1:3" ht="15" x14ac:dyDescent="0.25">
      <c r="A34" s="41"/>
      <c r="B34" s="45"/>
      <c r="C34" s="42"/>
    </row>
    <row r="35" spans="1:3" ht="15" x14ac:dyDescent="0.25">
      <c r="A35" s="43" t="s">
        <v>17</v>
      </c>
      <c r="B35" s="51">
        <v>3.2929999999999775</v>
      </c>
      <c r="C35" s="44">
        <v>1.4799999999999898</v>
      </c>
    </row>
    <row r="36" spans="1:3" ht="15" x14ac:dyDescent="0.25">
      <c r="A36" s="41"/>
      <c r="B36" s="45"/>
      <c r="C36" s="42"/>
    </row>
    <row r="37" spans="1:3" ht="15" x14ac:dyDescent="0.25">
      <c r="A37" s="48" t="s">
        <v>18</v>
      </c>
      <c r="B37" s="56">
        <f>SUM(B18,B31,B33,B35)</f>
        <v>222.49999999999994</v>
      </c>
      <c r="C37" s="50">
        <f>SUM(C18,C31,C33,C35)</f>
        <v>100</v>
      </c>
    </row>
  </sheetData>
  <mergeCells count="2">
    <mergeCell ref="A5:A6"/>
    <mergeCell ref="C5:C6"/>
  </mergeCells>
  <hyperlinks>
    <hyperlink ref="A1" location="Index!A1" display="Back to Links" xr:uid="{8CEB54D3-278B-40E0-9312-467F76F6113C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5490-10B7-40DA-B5EF-8616D89A2944}">
  <dimension ref="A1:G2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63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319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  <c r="E6" s="9"/>
    </row>
    <row r="7" spans="1:7" ht="13.5" customHeight="1" thickTop="1" x14ac:dyDescent="0.25">
      <c r="A7" s="43" t="s">
        <v>21</v>
      </c>
      <c r="B7" s="45"/>
      <c r="C7" s="42"/>
    </row>
    <row r="8" spans="1:7" ht="15" x14ac:dyDescent="0.25">
      <c r="A8" s="41" t="s">
        <v>124</v>
      </c>
      <c r="B8" s="45">
        <v>317.80270000000002</v>
      </c>
      <c r="C8" s="42">
        <v>19.220000000000002</v>
      </c>
    </row>
    <row r="9" spans="1:7" ht="15" x14ac:dyDescent="0.25">
      <c r="A9" s="41" t="s">
        <v>119</v>
      </c>
      <c r="B9" s="45">
        <v>199.0814</v>
      </c>
      <c r="C9" s="42">
        <v>12.04</v>
      </c>
    </row>
    <row r="10" spans="1:7" ht="15" x14ac:dyDescent="0.25">
      <c r="A10" s="41" t="s">
        <v>123</v>
      </c>
      <c r="B10" s="45">
        <v>149.14570000000001</v>
      </c>
      <c r="C10" s="42">
        <v>9.02</v>
      </c>
    </row>
    <row r="11" spans="1:7" ht="15" x14ac:dyDescent="0.25">
      <c r="A11" s="41" t="s">
        <v>118</v>
      </c>
      <c r="B11" s="45">
        <v>148.64965000000001</v>
      </c>
      <c r="C11" s="42">
        <v>8.99</v>
      </c>
    </row>
    <row r="12" spans="1:7" ht="15" x14ac:dyDescent="0.25">
      <c r="A12" s="41" t="s">
        <v>125</v>
      </c>
      <c r="B12" s="45">
        <v>98.713950000000011</v>
      </c>
      <c r="C12" s="42">
        <v>5.9700000000000006</v>
      </c>
    </row>
    <row r="13" spans="1:7" ht="15" x14ac:dyDescent="0.25">
      <c r="A13" s="41" t="s">
        <v>237</v>
      </c>
      <c r="B13" s="45">
        <v>95.903000000000006</v>
      </c>
      <c r="C13" s="42">
        <v>5.8000000000000007</v>
      </c>
    </row>
    <row r="14" spans="1:7" ht="15" x14ac:dyDescent="0.25">
      <c r="A14" s="41" t="s">
        <v>146</v>
      </c>
      <c r="B14" s="45">
        <v>87.139449999999997</v>
      </c>
      <c r="C14" s="42">
        <v>5.27</v>
      </c>
    </row>
    <row r="15" spans="1:7" ht="15" x14ac:dyDescent="0.25">
      <c r="A15" s="41" t="s">
        <v>199</v>
      </c>
      <c r="B15" s="45">
        <v>68.28955000000002</v>
      </c>
      <c r="C15" s="42">
        <v>4.1300000000000008</v>
      </c>
    </row>
    <row r="16" spans="1:7" ht="15" x14ac:dyDescent="0.25">
      <c r="A16" s="41" t="s">
        <v>238</v>
      </c>
      <c r="B16" s="45">
        <v>67.628149999999991</v>
      </c>
      <c r="C16" s="42">
        <v>4.09</v>
      </c>
    </row>
    <row r="17" spans="1:3" ht="15" x14ac:dyDescent="0.25">
      <c r="A17" s="41" t="s">
        <v>318</v>
      </c>
      <c r="B17" s="45">
        <v>28.936250000000005</v>
      </c>
      <c r="C17" s="42">
        <v>1.7500000000000002</v>
      </c>
    </row>
    <row r="18" spans="1:3" ht="15" x14ac:dyDescent="0.25">
      <c r="A18" s="43" t="s">
        <v>15</v>
      </c>
      <c r="B18" s="51">
        <f>SUM(B8:B17)</f>
        <v>1261.2898</v>
      </c>
      <c r="C18" s="44">
        <f>SUM(C8:C17)</f>
        <v>76.28</v>
      </c>
    </row>
    <row r="19" spans="1:3" ht="15" x14ac:dyDescent="0.25">
      <c r="A19" s="41"/>
      <c r="B19" s="45"/>
      <c r="C19" s="42"/>
    </row>
    <row r="20" spans="1:3" ht="15" x14ac:dyDescent="0.25">
      <c r="A20" s="43" t="s">
        <v>16</v>
      </c>
      <c r="B20" s="51">
        <v>364.26605000000001</v>
      </c>
      <c r="C20" s="44">
        <v>22.03</v>
      </c>
    </row>
    <row r="21" spans="1:3" ht="15" x14ac:dyDescent="0.25">
      <c r="A21" s="41"/>
      <c r="B21" s="45"/>
      <c r="C21" s="42"/>
    </row>
    <row r="22" spans="1:3" ht="15" x14ac:dyDescent="0.25">
      <c r="A22" s="43" t="s">
        <v>17</v>
      </c>
      <c r="B22" s="51">
        <v>27.944149999999965</v>
      </c>
      <c r="C22" s="44">
        <v>1.6899999999999977</v>
      </c>
    </row>
    <row r="23" spans="1:3" ht="15" x14ac:dyDescent="0.25">
      <c r="A23" s="41"/>
      <c r="B23" s="45"/>
      <c r="C23" s="42"/>
    </row>
    <row r="24" spans="1:3" ht="15" x14ac:dyDescent="0.25">
      <c r="A24" s="48" t="s">
        <v>18</v>
      </c>
      <c r="B24" s="56">
        <f>SUM(B18,B20,B22)</f>
        <v>1653.5</v>
      </c>
      <c r="C24" s="50">
        <f>SUM(C18,C20,C22)</f>
        <v>100</v>
      </c>
    </row>
  </sheetData>
  <mergeCells count="2">
    <mergeCell ref="A5:A6"/>
    <mergeCell ref="C5:C6"/>
  </mergeCells>
  <hyperlinks>
    <hyperlink ref="A1" location="Index!A1" display="Back to Links" xr:uid="{BE60B5E2-AAEC-4F00-8225-89AC61D0D5E7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BC3C-3C5B-4C59-AB1E-86D80C229C1E}">
  <dimension ref="A1:G5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64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320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8</v>
      </c>
      <c r="B8" s="45">
        <v>31.111360000000005</v>
      </c>
      <c r="C8" s="42">
        <v>4.7600000000000007</v>
      </c>
    </row>
    <row r="9" spans="1:7" ht="15" x14ac:dyDescent="0.25">
      <c r="A9" s="41" t="s">
        <v>7</v>
      </c>
      <c r="B9" s="45">
        <v>30.0656</v>
      </c>
      <c r="C9" s="42">
        <v>4.5999999999999996</v>
      </c>
    </row>
    <row r="10" spans="1:7" ht="15" x14ac:dyDescent="0.25">
      <c r="A10" s="41" t="s">
        <v>9</v>
      </c>
      <c r="B10" s="45">
        <v>27.974080000000001</v>
      </c>
      <c r="C10" s="42">
        <v>4.2799999999999994</v>
      </c>
    </row>
    <row r="11" spans="1:7" ht="15" x14ac:dyDescent="0.25">
      <c r="A11" s="41" t="s">
        <v>13</v>
      </c>
      <c r="B11" s="45">
        <v>17.908640000000002</v>
      </c>
      <c r="C11" s="42">
        <v>2.74</v>
      </c>
    </row>
    <row r="12" spans="1:7" ht="15" x14ac:dyDescent="0.25">
      <c r="A12" s="41" t="s">
        <v>10</v>
      </c>
      <c r="B12" s="45">
        <v>17.58184</v>
      </c>
      <c r="C12" s="42">
        <v>2.69</v>
      </c>
    </row>
    <row r="13" spans="1:7" ht="15" x14ac:dyDescent="0.25">
      <c r="A13" s="41" t="s">
        <v>12</v>
      </c>
      <c r="B13" s="45">
        <v>15.621040000000001</v>
      </c>
      <c r="C13" s="42">
        <v>2.39</v>
      </c>
    </row>
    <row r="14" spans="1:7" ht="15" x14ac:dyDescent="0.25">
      <c r="A14" s="41" t="s">
        <v>24</v>
      </c>
      <c r="B14" s="45">
        <v>12.48376</v>
      </c>
      <c r="C14" s="42">
        <v>1.91</v>
      </c>
    </row>
    <row r="15" spans="1:7" ht="15" x14ac:dyDescent="0.25">
      <c r="A15" s="41" t="s">
        <v>11</v>
      </c>
      <c r="B15" s="45">
        <v>12.222320000000002</v>
      </c>
      <c r="C15" s="42">
        <v>1.87</v>
      </c>
    </row>
    <row r="16" spans="1:7" ht="15" x14ac:dyDescent="0.25">
      <c r="A16" s="41" t="s">
        <v>92</v>
      </c>
      <c r="B16" s="45">
        <v>11.634080000000001</v>
      </c>
      <c r="C16" s="42">
        <v>1.78</v>
      </c>
    </row>
    <row r="17" spans="1:3" ht="15" x14ac:dyDescent="0.25">
      <c r="A17" s="41" t="s">
        <v>210</v>
      </c>
      <c r="B17" s="45">
        <v>10.91512</v>
      </c>
      <c r="C17" s="42">
        <v>1.67</v>
      </c>
    </row>
    <row r="18" spans="1:3" ht="15" x14ac:dyDescent="0.25">
      <c r="A18" s="43" t="s">
        <v>15</v>
      </c>
      <c r="B18" s="51">
        <f>SUM(B8:B17)</f>
        <v>187.51784000000001</v>
      </c>
      <c r="C18" s="44">
        <f>SUM(C8:C17)</f>
        <v>28.690000000000005</v>
      </c>
    </row>
    <row r="19" spans="1:3" ht="15" x14ac:dyDescent="0.25">
      <c r="A19" s="41"/>
      <c r="B19" s="45"/>
      <c r="C19" s="42"/>
    </row>
    <row r="20" spans="1:3" ht="15" x14ac:dyDescent="0.25">
      <c r="A20" s="43" t="s">
        <v>137</v>
      </c>
      <c r="B20" s="45"/>
      <c r="C20" s="42"/>
    </row>
    <row r="21" spans="1:3" ht="15" x14ac:dyDescent="0.25">
      <c r="A21" s="55" t="s">
        <v>219</v>
      </c>
      <c r="B21" s="45">
        <v>53.137679999999989</v>
      </c>
      <c r="C21" s="42">
        <v>8.129999999999999</v>
      </c>
    </row>
    <row r="22" spans="1:3" ht="15" x14ac:dyDescent="0.25">
      <c r="A22" s="55" t="s">
        <v>264</v>
      </c>
      <c r="B22" s="45">
        <v>25.490400000000001</v>
      </c>
      <c r="C22" s="42">
        <v>3.9</v>
      </c>
    </row>
    <row r="23" spans="1:3" ht="15" x14ac:dyDescent="0.25">
      <c r="A23" s="55" t="s">
        <v>28</v>
      </c>
      <c r="B23" s="45">
        <v>22.157040000000002</v>
      </c>
      <c r="C23" s="42">
        <v>3.39</v>
      </c>
    </row>
    <row r="24" spans="1:3" ht="15" x14ac:dyDescent="0.25">
      <c r="A24" s="55" t="s">
        <v>244</v>
      </c>
      <c r="B24" s="45">
        <v>19.281199999999998</v>
      </c>
      <c r="C24" s="42">
        <v>2.9499999999999997</v>
      </c>
    </row>
    <row r="25" spans="1:3" ht="15" x14ac:dyDescent="0.25">
      <c r="A25" s="55" t="s">
        <v>149</v>
      </c>
      <c r="B25" s="45">
        <v>15.09816</v>
      </c>
      <c r="C25" s="42">
        <v>2.31</v>
      </c>
    </row>
    <row r="26" spans="1:3" ht="15" x14ac:dyDescent="0.25">
      <c r="A26" s="55" t="s">
        <v>273</v>
      </c>
      <c r="B26" s="45">
        <v>10.065440000000001</v>
      </c>
      <c r="C26" s="42">
        <v>1.54</v>
      </c>
    </row>
    <row r="27" spans="1:3" ht="15" x14ac:dyDescent="0.25">
      <c r="A27" s="55" t="s">
        <v>245</v>
      </c>
      <c r="B27" s="45">
        <v>9.9347200000000004</v>
      </c>
      <c r="C27" s="42">
        <v>1.52</v>
      </c>
    </row>
    <row r="28" spans="1:3" ht="15" x14ac:dyDescent="0.25">
      <c r="A28" s="55" t="s">
        <v>22</v>
      </c>
      <c r="B28" s="45">
        <v>5.555600000000001</v>
      </c>
      <c r="C28" s="42">
        <v>0.85000000000000009</v>
      </c>
    </row>
    <row r="29" spans="1:3" ht="15" x14ac:dyDescent="0.25">
      <c r="A29" s="55" t="s">
        <v>180</v>
      </c>
      <c r="B29" s="45">
        <v>5.0327200000000003</v>
      </c>
      <c r="C29" s="42">
        <v>0.77</v>
      </c>
    </row>
    <row r="30" spans="1:3" ht="15" x14ac:dyDescent="0.25">
      <c r="A30" s="55" t="s">
        <v>200</v>
      </c>
      <c r="B30" s="45">
        <v>4.1830400000000001</v>
      </c>
      <c r="C30" s="42">
        <v>0.64</v>
      </c>
    </row>
    <row r="31" spans="1:3" ht="15" x14ac:dyDescent="0.25">
      <c r="A31" s="43" t="s">
        <v>15</v>
      </c>
      <c r="B31" s="51">
        <f>SUM(B21:B30)</f>
        <v>169.93599999999998</v>
      </c>
      <c r="C31" s="44">
        <f>SUM(C21:C30)</f>
        <v>26</v>
      </c>
    </row>
    <row r="32" spans="1:3" ht="15" x14ac:dyDescent="0.25">
      <c r="A32" s="41"/>
      <c r="B32" s="45"/>
      <c r="C32" s="42"/>
    </row>
    <row r="33" spans="1:3" ht="15" x14ac:dyDescent="0.25">
      <c r="A33" s="43" t="s">
        <v>23</v>
      </c>
      <c r="B33" s="45"/>
      <c r="C33" s="42"/>
    </row>
    <row r="34" spans="1:3" ht="15" x14ac:dyDescent="0.25">
      <c r="A34" s="55" t="s">
        <v>239</v>
      </c>
      <c r="B34" s="45">
        <v>25.94792</v>
      </c>
      <c r="C34" s="42">
        <v>3.9699999999999998</v>
      </c>
    </row>
    <row r="35" spans="1:3" ht="15" x14ac:dyDescent="0.25">
      <c r="A35" s="55" t="s">
        <v>220</v>
      </c>
      <c r="B35" s="45">
        <v>24.444640000000003</v>
      </c>
      <c r="C35" s="42">
        <v>3.74</v>
      </c>
    </row>
    <row r="36" spans="1:3" ht="15" x14ac:dyDescent="0.25">
      <c r="A36" s="55" t="s">
        <v>139</v>
      </c>
      <c r="B36" s="45">
        <v>19.869440000000001</v>
      </c>
      <c r="C36" s="42">
        <v>3.04</v>
      </c>
    </row>
    <row r="37" spans="1:3" ht="15" x14ac:dyDescent="0.25">
      <c r="A37" s="55" t="s">
        <v>201</v>
      </c>
      <c r="B37" s="45">
        <v>19.738720000000001</v>
      </c>
      <c r="C37" s="42">
        <v>3.02</v>
      </c>
    </row>
    <row r="38" spans="1:3" ht="15" x14ac:dyDescent="0.25">
      <c r="A38" s="55" t="s">
        <v>281</v>
      </c>
      <c r="B38" s="45">
        <v>16.993600000000001</v>
      </c>
      <c r="C38" s="42">
        <v>2.6</v>
      </c>
    </row>
    <row r="39" spans="1:3" ht="15" x14ac:dyDescent="0.25">
      <c r="A39" s="55" t="s">
        <v>161</v>
      </c>
      <c r="B39" s="45">
        <v>12.222320000000002</v>
      </c>
      <c r="C39" s="42">
        <v>1.87</v>
      </c>
    </row>
    <row r="40" spans="1:3" ht="15" x14ac:dyDescent="0.25">
      <c r="A40" s="55" t="s">
        <v>223</v>
      </c>
      <c r="B40" s="45">
        <v>9.9347200000000004</v>
      </c>
      <c r="C40" s="42">
        <v>1.52</v>
      </c>
    </row>
    <row r="41" spans="1:3" ht="15" x14ac:dyDescent="0.25">
      <c r="A41" s="55" t="s">
        <v>222</v>
      </c>
      <c r="B41" s="45">
        <v>5.0980799999999995</v>
      </c>
      <c r="C41" s="42">
        <v>0.77999999999999992</v>
      </c>
    </row>
    <row r="42" spans="1:3" ht="15" x14ac:dyDescent="0.25">
      <c r="A42" s="55" t="s">
        <v>202</v>
      </c>
      <c r="B42" s="45">
        <v>4.2484000000000002</v>
      </c>
      <c r="C42" s="42">
        <v>0.65</v>
      </c>
    </row>
    <row r="43" spans="1:3" ht="15" x14ac:dyDescent="0.25">
      <c r="A43" s="55" t="s">
        <v>168</v>
      </c>
      <c r="B43" s="45">
        <v>4.0523199999999999</v>
      </c>
      <c r="C43" s="42">
        <v>0.62</v>
      </c>
    </row>
    <row r="44" spans="1:3" ht="15" x14ac:dyDescent="0.25">
      <c r="A44" s="43" t="s">
        <v>15</v>
      </c>
      <c r="B44" s="51">
        <f>SUM(B34:B43)</f>
        <v>142.55016000000003</v>
      </c>
      <c r="C44" s="44">
        <f>SUM(C34:C43)</f>
        <v>21.810000000000002</v>
      </c>
    </row>
    <row r="45" spans="1:3" ht="15" x14ac:dyDescent="0.25">
      <c r="A45" s="41"/>
      <c r="B45" s="45"/>
      <c r="C45" s="42"/>
    </row>
    <row r="46" spans="1:3" ht="15" x14ac:dyDescent="0.25">
      <c r="A46" s="43" t="s">
        <v>16</v>
      </c>
      <c r="B46" s="51">
        <v>16.274639999999998</v>
      </c>
      <c r="C46" s="44">
        <v>2.4899999999999998</v>
      </c>
    </row>
    <row r="47" spans="1:3" ht="15" x14ac:dyDescent="0.25">
      <c r="A47" s="41"/>
      <c r="B47" s="45"/>
      <c r="C47" s="42"/>
    </row>
    <row r="48" spans="1:3" ht="15" x14ac:dyDescent="0.25">
      <c r="A48" s="43" t="s">
        <v>17</v>
      </c>
      <c r="B48" s="51">
        <v>137.32135999999986</v>
      </c>
      <c r="C48" s="44">
        <v>21.009999999999977</v>
      </c>
    </row>
    <row r="49" spans="1:3" ht="15" x14ac:dyDescent="0.25">
      <c r="A49" s="41"/>
      <c r="B49" s="45"/>
      <c r="C49" s="42"/>
    </row>
    <row r="50" spans="1:3" ht="15" x14ac:dyDescent="0.25">
      <c r="A50" s="48" t="s">
        <v>18</v>
      </c>
      <c r="B50" s="56">
        <f>SUM(B18,B31,B44,B46,B48)</f>
        <v>653.59999999999991</v>
      </c>
      <c r="C50" s="50">
        <f>SUM(C18,C31,C44,C46,C48)</f>
        <v>99.999999999999972</v>
      </c>
    </row>
  </sheetData>
  <mergeCells count="2">
    <mergeCell ref="A5:A6"/>
    <mergeCell ref="C5:C6"/>
  </mergeCells>
  <hyperlinks>
    <hyperlink ref="A1" location="Index!A1" display="Back to Links" xr:uid="{39F705C3-7341-4A0C-BA1C-303905D88C09}"/>
  </hyperlinks>
  <pageMargins left="0.7" right="0.7" top="0.75" bottom="0.75" header="0.3" footer="0.3"/>
  <pageSetup paperSize="9" orientation="portrait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3C02-FF31-4151-B0FA-626DBEA2EB0F}">
  <dimension ref="A1:G5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65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321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  <c r="E6" s="26"/>
    </row>
    <row r="7" spans="1:7" ht="13.5" customHeight="1" thickTop="1" x14ac:dyDescent="0.25">
      <c r="A7" s="43" t="s">
        <v>19</v>
      </c>
      <c r="B7" s="45"/>
      <c r="C7" s="42"/>
    </row>
    <row r="8" spans="1:7" ht="15" x14ac:dyDescent="0.25">
      <c r="A8" s="41" t="s">
        <v>7</v>
      </c>
      <c r="B8" s="45">
        <v>29.469019999999997</v>
      </c>
      <c r="C8" s="42">
        <v>2.59</v>
      </c>
    </row>
    <row r="9" spans="1:7" ht="15" x14ac:dyDescent="0.25">
      <c r="A9" s="41" t="s">
        <v>8</v>
      </c>
      <c r="B9" s="45">
        <v>27.079640000000005</v>
      </c>
      <c r="C9" s="42">
        <v>2.3800000000000003</v>
      </c>
    </row>
    <row r="10" spans="1:7" ht="15" x14ac:dyDescent="0.25">
      <c r="A10" s="41" t="s">
        <v>9</v>
      </c>
      <c r="B10" s="45">
        <v>17.294560000000001</v>
      </c>
      <c r="C10" s="42">
        <v>1.52</v>
      </c>
    </row>
    <row r="11" spans="1:7" ht="15" x14ac:dyDescent="0.25">
      <c r="A11" s="41" t="s">
        <v>13</v>
      </c>
      <c r="B11" s="45">
        <v>15.587860000000001</v>
      </c>
      <c r="C11" s="42">
        <v>1.37</v>
      </c>
    </row>
    <row r="12" spans="1:7" ht="15" x14ac:dyDescent="0.25">
      <c r="A12" s="41" t="s">
        <v>11</v>
      </c>
      <c r="B12" s="45">
        <v>13.084699999999998</v>
      </c>
      <c r="C12" s="42">
        <v>1.1499999999999999</v>
      </c>
    </row>
    <row r="13" spans="1:7" ht="15" x14ac:dyDescent="0.25">
      <c r="A13" s="41" t="s">
        <v>10</v>
      </c>
      <c r="B13" s="45">
        <v>12.970920000000001</v>
      </c>
      <c r="C13" s="42">
        <v>1.1400000000000001</v>
      </c>
    </row>
    <row r="14" spans="1:7" ht="15" x14ac:dyDescent="0.25">
      <c r="A14" s="41" t="s">
        <v>24</v>
      </c>
      <c r="B14" s="45">
        <v>11.833119999999999</v>
      </c>
      <c r="C14" s="42">
        <v>1.04</v>
      </c>
    </row>
    <row r="15" spans="1:7" ht="15" x14ac:dyDescent="0.25">
      <c r="A15" s="41" t="s">
        <v>92</v>
      </c>
      <c r="B15" s="45">
        <v>10.012639999999999</v>
      </c>
      <c r="C15" s="42">
        <v>0.88</v>
      </c>
    </row>
    <row r="16" spans="1:7" ht="15" x14ac:dyDescent="0.25">
      <c r="A16" s="41" t="s">
        <v>12</v>
      </c>
      <c r="B16" s="45">
        <v>9.6713000000000005</v>
      </c>
      <c r="C16" s="42">
        <v>0.85000000000000009</v>
      </c>
    </row>
    <row r="17" spans="1:3" ht="15" x14ac:dyDescent="0.25">
      <c r="A17" s="41" t="s">
        <v>210</v>
      </c>
      <c r="B17" s="45">
        <v>9.4437399999999982</v>
      </c>
      <c r="C17" s="42">
        <v>0.83</v>
      </c>
    </row>
    <row r="18" spans="1:3" ht="15" x14ac:dyDescent="0.25">
      <c r="A18" s="43" t="s">
        <v>15</v>
      </c>
      <c r="B18" s="51">
        <f>SUM(B8:B17)</f>
        <v>156.44749999999999</v>
      </c>
      <c r="C18" s="44">
        <f>SUM(C8:C17)</f>
        <v>13.750000000000002</v>
      </c>
    </row>
    <row r="19" spans="1:3" ht="15" x14ac:dyDescent="0.25">
      <c r="A19" s="41"/>
      <c r="B19" s="45"/>
      <c r="C19" s="42"/>
    </row>
    <row r="20" spans="1:3" ht="15" x14ac:dyDescent="0.25">
      <c r="A20" s="43" t="s">
        <v>137</v>
      </c>
      <c r="B20" s="45"/>
      <c r="C20" s="42"/>
    </row>
    <row r="21" spans="1:3" ht="15" x14ac:dyDescent="0.25">
      <c r="A21" s="55" t="s">
        <v>264</v>
      </c>
      <c r="B21" s="45">
        <v>139.15294</v>
      </c>
      <c r="C21" s="42">
        <v>12.23</v>
      </c>
    </row>
    <row r="22" spans="1:3" ht="15" x14ac:dyDescent="0.25">
      <c r="A22" s="55" t="s">
        <v>219</v>
      </c>
      <c r="B22" s="45">
        <v>102.17443999999999</v>
      </c>
      <c r="C22" s="42">
        <v>8.98</v>
      </c>
    </row>
    <row r="23" spans="1:3" ht="15" x14ac:dyDescent="0.25">
      <c r="A23" s="55" t="s">
        <v>244</v>
      </c>
      <c r="B23" s="45">
        <v>89.544860000000014</v>
      </c>
      <c r="C23" s="42">
        <v>7.870000000000001</v>
      </c>
    </row>
    <row r="24" spans="1:3" ht="15" x14ac:dyDescent="0.25">
      <c r="A24" s="55" t="s">
        <v>160</v>
      </c>
      <c r="B24" s="45">
        <v>75.549919999999986</v>
      </c>
      <c r="C24" s="42">
        <v>6.64</v>
      </c>
    </row>
    <row r="25" spans="1:3" ht="15" x14ac:dyDescent="0.25">
      <c r="A25" s="55" t="s">
        <v>126</v>
      </c>
      <c r="B25" s="45">
        <v>27.079640000000005</v>
      </c>
      <c r="C25" s="42">
        <v>2.3800000000000003</v>
      </c>
    </row>
    <row r="26" spans="1:3" ht="15" x14ac:dyDescent="0.25">
      <c r="A26" s="55" t="s">
        <v>28</v>
      </c>
      <c r="B26" s="45">
        <v>25.486719999999995</v>
      </c>
      <c r="C26" s="42">
        <v>2.2399999999999998</v>
      </c>
    </row>
    <row r="27" spans="1:3" ht="15" x14ac:dyDescent="0.25">
      <c r="A27" s="55" t="s">
        <v>149</v>
      </c>
      <c r="B27" s="45">
        <v>23.78002</v>
      </c>
      <c r="C27" s="42">
        <v>2.09</v>
      </c>
    </row>
    <row r="28" spans="1:3" ht="15" x14ac:dyDescent="0.25">
      <c r="A28" s="55" t="s">
        <v>273</v>
      </c>
      <c r="B28" s="45">
        <v>20.139060000000001</v>
      </c>
      <c r="C28" s="42">
        <v>1.77</v>
      </c>
    </row>
    <row r="29" spans="1:3" ht="15" x14ac:dyDescent="0.25">
      <c r="A29" s="55" t="s">
        <v>200</v>
      </c>
      <c r="B29" s="45">
        <v>11.491779999999999</v>
      </c>
      <c r="C29" s="42">
        <v>1.01</v>
      </c>
    </row>
    <row r="30" spans="1:3" ht="15" x14ac:dyDescent="0.25">
      <c r="A30" s="55" t="s">
        <v>203</v>
      </c>
      <c r="B30" s="45">
        <v>5.0063199999999997</v>
      </c>
      <c r="C30" s="42">
        <v>0.44</v>
      </c>
    </row>
    <row r="31" spans="1:3" ht="15" x14ac:dyDescent="0.25">
      <c r="A31" s="43" t="s">
        <v>15</v>
      </c>
      <c r="B31" s="51">
        <f>SUM(B21:B30)</f>
        <v>519.40569999999991</v>
      </c>
      <c r="C31" s="44">
        <f>SUM(C21:C30)</f>
        <v>45.650000000000006</v>
      </c>
    </row>
    <row r="32" spans="1:3" ht="15" x14ac:dyDescent="0.25">
      <c r="A32" s="41"/>
      <c r="B32" s="45"/>
      <c r="C32" s="42"/>
    </row>
    <row r="33" spans="1:3" ht="15" x14ac:dyDescent="0.25">
      <c r="A33" s="43" t="s">
        <v>138</v>
      </c>
      <c r="B33" s="45"/>
      <c r="C33" s="42"/>
    </row>
    <row r="34" spans="1:3" ht="15" x14ac:dyDescent="0.25">
      <c r="A34" s="55" t="s">
        <v>139</v>
      </c>
      <c r="B34" s="45">
        <v>37.206060000000001</v>
      </c>
      <c r="C34" s="42">
        <v>3.27</v>
      </c>
    </row>
    <row r="35" spans="1:3" ht="15" x14ac:dyDescent="0.25">
      <c r="A35" s="55" t="s">
        <v>151</v>
      </c>
      <c r="B35" s="45">
        <v>36.864719999999998</v>
      </c>
      <c r="C35" s="42">
        <v>3.2399999999999998</v>
      </c>
    </row>
    <row r="36" spans="1:3" ht="15" x14ac:dyDescent="0.25">
      <c r="A36" s="55" t="s">
        <v>155</v>
      </c>
      <c r="B36" s="45">
        <v>35.044240000000002</v>
      </c>
      <c r="C36" s="42">
        <v>3.08</v>
      </c>
    </row>
    <row r="37" spans="1:3" ht="15" x14ac:dyDescent="0.25">
      <c r="A37" s="55" t="s">
        <v>204</v>
      </c>
      <c r="B37" s="45">
        <v>35.044240000000002</v>
      </c>
      <c r="C37" s="42">
        <v>3.08</v>
      </c>
    </row>
    <row r="38" spans="1:3" ht="15" x14ac:dyDescent="0.25">
      <c r="A38" s="55" t="s">
        <v>205</v>
      </c>
      <c r="B38" s="45">
        <v>25.031599999999994</v>
      </c>
      <c r="C38" s="42">
        <v>2.1999999999999997</v>
      </c>
    </row>
    <row r="39" spans="1:3" ht="15" x14ac:dyDescent="0.25">
      <c r="A39" s="55" t="s">
        <v>222</v>
      </c>
      <c r="B39" s="45">
        <v>20.252839999999999</v>
      </c>
      <c r="C39" s="42">
        <v>1.78</v>
      </c>
    </row>
    <row r="40" spans="1:3" ht="15" x14ac:dyDescent="0.25">
      <c r="A40" s="55" t="s">
        <v>281</v>
      </c>
      <c r="B40" s="45">
        <v>20.025279999999999</v>
      </c>
      <c r="C40" s="42">
        <v>1.76</v>
      </c>
    </row>
    <row r="41" spans="1:3" ht="15" x14ac:dyDescent="0.25">
      <c r="A41" s="55" t="s">
        <v>183</v>
      </c>
      <c r="B41" s="45">
        <v>14.791400000000001</v>
      </c>
      <c r="C41" s="42">
        <v>1.3</v>
      </c>
    </row>
    <row r="42" spans="1:3" ht="15" x14ac:dyDescent="0.25">
      <c r="A42" s="55" t="s">
        <v>220</v>
      </c>
      <c r="B42" s="45">
        <v>14.677619999999999</v>
      </c>
      <c r="C42" s="42">
        <v>1.29</v>
      </c>
    </row>
    <row r="43" spans="1:3" ht="15" x14ac:dyDescent="0.25">
      <c r="A43" s="55" t="s">
        <v>168</v>
      </c>
      <c r="B43" s="45">
        <v>11.150439999999998</v>
      </c>
      <c r="C43" s="42">
        <v>0.98</v>
      </c>
    </row>
    <row r="44" spans="1:3" ht="15" x14ac:dyDescent="0.25">
      <c r="A44" s="43" t="s">
        <v>15</v>
      </c>
      <c r="B44" s="51">
        <f>SUM(B34:B43)</f>
        <v>250.08844000000002</v>
      </c>
      <c r="C44" s="44">
        <f>SUM(C34:C43)</f>
        <v>21.98</v>
      </c>
    </row>
    <row r="45" spans="1:3" ht="15" x14ac:dyDescent="0.25">
      <c r="A45" s="41"/>
      <c r="B45" s="45"/>
      <c r="C45" s="42"/>
    </row>
    <row r="46" spans="1:3" ht="15" x14ac:dyDescent="0.25">
      <c r="A46" s="43" t="s">
        <v>16</v>
      </c>
      <c r="B46" s="51">
        <v>63.375460000000004</v>
      </c>
      <c r="C46" s="44">
        <v>5.57</v>
      </c>
    </row>
    <row r="47" spans="1:3" ht="15" x14ac:dyDescent="0.25">
      <c r="A47" s="41"/>
      <c r="B47" s="45"/>
      <c r="C47" s="42"/>
    </row>
    <row r="48" spans="1:3" ht="15" x14ac:dyDescent="0.25">
      <c r="A48" s="43" t="s">
        <v>17</v>
      </c>
      <c r="B48" s="51">
        <v>148.48289999999949</v>
      </c>
      <c r="C48" s="44">
        <v>13.049999999999955</v>
      </c>
    </row>
    <row r="49" spans="1:3" ht="15" x14ac:dyDescent="0.25">
      <c r="A49" s="41"/>
      <c r="B49" s="45"/>
      <c r="C49" s="42"/>
    </row>
    <row r="50" spans="1:3" ht="15" x14ac:dyDescent="0.25">
      <c r="A50" s="48" t="s">
        <v>18</v>
      </c>
      <c r="B50" s="56">
        <f>SUM(B18,B31,B44,B46,B48)</f>
        <v>1137.7999999999993</v>
      </c>
      <c r="C50" s="50">
        <f>SUM(C18,C31,C44,C46,C48)</f>
        <v>99.999999999999972</v>
      </c>
    </row>
  </sheetData>
  <mergeCells count="2">
    <mergeCell ref="A5:A6"/>
    <mergeCell ref="C5:C6"/>
  </mergeCells>
  <hyperlinks>
    <hyperlink ref="A1" location="Index!A1" display="Back to Links" xr:uid="{A00EAE19-001A-416E-B325-301D54857DC4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9EB2-C51D-4EFE-8CDC-DE38D0BAC4FC}">
  <dimension ref="A1:G37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66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323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  <c r="E5" s="26"/>
    </row>
    <row r="6" spans="1:7" ht="16.5" customHeight="1" thickTop="1" thickBot="1" x14ac:dyDescent="0.25">
      <c r="A6" s="64"/>
      <c r="B6" s="10" t="s">
        <v>6</v>
      </c>
      <c r="C6" s="66"/>
      <c r="E6" s="9"/>
    </row>
    <row r="7" spans="1:7" ht="13.5" customHeight="1" thickTop="1" x14ac:dyDescent="0.25">
      <c r="A7" s="43" t="s">
        <v>21</v>
      </c>
      <c r="B7" s="45"/>
      <c r="C7" s="42"/>
    </row>
    <row r="8" spans="1:7" ht="15" x14ac:dyDescent="0.25">
      <c r="A8" s="55" t="s">
        <v>219</v>
      </c>
      <c r="B8" s="45">
        <v>69.061800000000005</v>
      </c>
      <c r="C8" s="42">
        <v>24.490000000000002</v>
      </c>
    </row>
    <row r="9" spans="1:7" ht="15" x14ac:dyDescent="0.25">
      <c r="A9" s="55" t="s">
        <v>264</v>
      </c>
      <c r="B9" s="45">
        <v>50.308799999999998</v>
      </c>
      <c r="C9" s="42">
        <v>17.84</v>
      </c>
    </row>
    <row r="10" spans="1:7" ht="15" x14ac:dyDescent="0.25">
      <c r="A10" s="55" t="s">
        <v>28</v>
      </c>
      <c r="B10" s="45">
        <v>17.4558</v>
      </c>
      <c r="C10" s="42">
        <v>6.1899999999999995</v>
      </c>
    </row>
    <row r="11" spans="1:7" ht="15" x14ac:dyDescent="0.25">
      <c r="A11" s="55" t="s">
        <v>273</v>
      </c>
      <c r="B11" s="45">
        <v>15.1434</v>
      </c>
      <c r="C11" s="42">
        <v>5.37</v>
      </c>
    </row>
    <row r="12" spans="1:7" ht="15" x14ac:dyDescent="0.25">
      <c r="A12" s="55" t="s">
        <v>126</v>
      </c>
      <c r="B12" s="45">
        <v>10.236599999999999</v>
      </c>
      <c r="C12" s="42">
        <v>3.63</v>
      </c>
    </row>
    <row r="13" spans="1:7" ht="15" x14ac:dyDescent="0.25">
      <c r="A13" s="55" t="s">
        <v>160</v>
      </c>
      <c r="B13" s="45">
        <v>9.447000000000001</v>
      </c>
      <c r="C13" s="42">
        <v>3.35</v>
      </c>
    </row>
    <row r="14" spans="1:7" ht="15" x14ac:dyDescent="0.25">
      <c r="A14" s="55" t="s">
        <v>200</v>
      </c>
      <c r="B14" s="45">
        <v>5.7810000000000006</v>
      </c>
      <c r="C14" s="42">
        <v>2.0500000000000003</v>
      </c>
    </row>
    <row r="15" spans="1:7" ht="15" x14ac:dyDescent="0.25">
      <c r="A15" s="55" t="s">
        <v>163</v>
      </c>
      <c r="B15" s="45">
        <v>5.6118000000000006</v>
      </c>
      <c r="C15" s="42">
        <v>1.9900000000000002</v>
      </c>
    </row>
    <row r="16" spans="1:7" ht="15" x14ac:dyDescent="0.25">
      <c r="A16" s="55" t="s">
        <v>37</v>
      </c>
      <c r="B16" s="45">
        <v>5.4708000000000006</v>
      </c>
      <c r="C16" s="42">
        <v>1.94</v>
      </c>
    </row>
    <row r="17" spans="1:3" ht="15" x14ac:dyDescent="0.25">
      <c r="A17" s="55" t="s">
        <v>149</v>
      </c>
      <c r="B17" s="45">
        <v>4.8221999999999996</v>
      </c>
      <c r="C17" s="42">
        <v>1.71</v>
      </c>
    </row>
    <row r="18" spans="1:3" ht="15" x14ac:dyDescent="0.25">
      <c r="A18" s="43" t="s">
        <v>15</v>
      </c>
      <c r="B18" s="51">
        <f>SUM(B8:B17)</f>
        <v>193.33920000000003</v>
      </c>
      <c r="C18" s="44">
        <f>SUM(C8:C17)</f>
        <v>68.559999999999988</v>
      </c>
    </row>
    <row r="19" spans="1:3" ht="15" x14ac:dyDescent="0.25">
      <c r="A19" s="41"/>
      <c r="B19" s="45"/>
      <c r="C19" s="42"/>
    </row>
    <row r="20" spans="1:3" ht="15" x14ac:dyDescent="0.25">
      <c r="A20" s="43" t="s">
        <v>23</v>
      </c>
      <c r="B20" s="45"/>
      <c r="C20" s="42"/>
    </row>
    <row r="21" spans="1:3" ht="15" x14ac:dyDescent="0.25">
      <c r="A21" s="55" t="s">
        <v>222</v>
      </c>
      <c r="B21" s="45">
        <v>20.2758</v>
      </c>
      <c r="C21" s="42">
        <v>7.19</v>
      </c>
    </row>
    <row r="22" spans="1:3" ht="15" x14ac:dyDescent="0.25">
      <c r="A22" s="55" t="s">
        <v>223</v>
      </c>
      <c r="B22" s="45">
        <v>19.909199999999998</v>
      </c>
      <c r="C22" s="42">
        <v>7.06</v>
      </c>
    </row>
    <row r="23" spans="1:3" ht="15" x14ac:dyDescent="0.25">
      <c r="A23" s="55" t="s">
        <v>220</v>
      </c>
      <c r="B23" s="45">
        <v>9.785400000000001</v>
      </c>
      <c r="C23" s="42">
        <v>3.47</v>
      </c>
    </row>
    <row r="24" spans="1:3" ht="15" x14ac:dyDescent="0.25">
      <c r="A24" s="55" t="s">
        <v>168</v>
      </c>
      <c r="B24" s="45">
        <v>3.0455999999999999</v>
      </c>
      <c r="C24" s="42">
        <v>1.08</v>
      </c>
    </row>
    <row r="25" spans="1:3" ht="15" x14ac:dyDescent="0.25">
      <c r="A25" s="55" t="s">
        <v>281</v>
      </c>
      <c r="B25" s="45">
        <v>2.5097999999999998</v>
      </c>
      <c r="C25" s="42">
        <v>0.89</v>
      </c>
    </row>
    <row r="26" spans="1:3" ht="15" x14ac:dyDescent="0.25">
      <c r="A26" s="55" t="s">
        <v>183</v>
      </c>
      <c r="B26" s="45">
        <v>2.4533999999999998</v>
      </c>
      <c r="C26" s="42">
        <v>0.86999999999999988</v>
      </c>
    </row>
    <row r="27" spans="1:3" ht="15" x14ac:dyDescent="0.25">
      <c r="A27" s="55" t="s">
        <v>153</v>
      </c>
      <c r="B27" s="45">
        <v>2.4252000000000002</v>
      </c>
      <c r="C27" s="42">
        <v>0.86</v>
      </c>
    </row>
    <row r="28" spans="1:3" ht="15" x14ac:dyDescent="0.25">
      <c r="A28" s="55" t="s">
        <v>206</v>
      </c>
      <c r="B28" s="45">
        <v>2.1995999999999998</v>
      </c>
      <c r="C28" s="42">
        <v>0.77999999999999992</v>
      </c>
    </row>
    <row r="29" spans="1:3" ht="15" x14ac:dyDescent="0.25">
      <c r="A29" s="55" t="s">
        <v>169</v>
      </c>
      <c r="B29" s="45">
        <v>1.3254000000000001</v>
      </c>
      <c r="C29" s="42">
        <v>0.47000000000000003</v>
      </c>
    </row>
    <row r="30" spans="1:3" ht="15" x14ac:dyDescent="0.25">
      <c r="A30" s="55" t="s">
        <v>322</v>
      </c>
      <c r="B30" s="45">
        <v>1.0151999999999999</v>
      </c>
      <c r="C30" s="42">
        <v>0.36</v>
      </c>
    </row>
    <row r="31" spans="1:3" ht="15" x14ac:dyDescent="0.25">
      <c r="A31" s="43" t="s">
        <v>15</v>
      </c>
      <c r="B31" s="51">
        <f>SUM(B21:B30)</f>
        <v>64.944600000000008</v>
      </c>
      <c r="C31" s="44">
        <f>SUM(C21:C30)</f>
        <v>23.029999999999998</v>
      </c>
    </row>
    <row r="32" spans="1:3" ht="15" x14ac:dyDescent="0.25">
      <c r="A32" s="41"/>
      <c r="B32" s="45"/>
      <c r="C32" s="42"/>
    </row>
    <row r="33" spans="1:3" ht="15" x14ac:dyDescent="0.25">
      <c r="A33" s="43" t="s">
        <v>16</v>
      </c>
      <c r="B33" s="51">
        <v>15.763799999999998</v>
      </c>
      <c r="C33" s="44">
        <v>5.59</v>
      </c>
    </row>
    <row r="34" spans="1:3" ht="15" x14ac:dyDescent="0.25">
      <c r="A34" s="41"/>
      <c r="B34" s="45"/>
      <c r="C34" s="42"/>
    </row>
    <row r="35" spans="1:3" ht="15" x14ac:dyDescent="0.25">
      <c r="A35" s="43" t="s">
        <v>17</v>
      </c>
      <c r="B35" s="51">
        <v>7.9524000000000203</v>
      </c>
      <c r="C35" s="44">
        <v>2.8200000000000074</v>
      </c>
    </row>
    <row r="36" spans="1:3" ht="15" x14ac:dyDescent="0.25">
      <c r="A36" s="41"/>
      <c r="B36" s="45"/>
      <c r="C36" s="42"/>
    </row>
    <row r="37" spans="1:3" ht="15" x14ac:dyDescent="0.25">
      <c r="A37" s="48" t="s">
        <v>18</v>
      </c>
      <c r="B37" s="56">
        <f>SUM(B18,B31,B33,B35)</f>
        <v>282.00000000000006</v>
      </c>
      <c r="C37" s="50">
        <f>SUM(C18,C31,C33,C35)</f>
        <v>100</v>
      </c>
    </row>
  </sheetData>
  <mergeCells count="2">
    <mergeCell ref="A5:A6"/>
    <mergeCell ref="C5:C6"/>
  </mergeCells>
  <hyperlinks>
    <hyperlink ref="A1" location="Index!A1" display="Back to Links" xr:uid="{FA9523E2-B24E-436E-93A2-AD051577345E}"/>
  </hyperlinks>
  <pageMargins left="0.7" right="0.7" top="0.75" bottom="0.75" header="0.3" footer="0.3"/>
  <pageSetup paperSize="9" orientation="portrait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586A-D50F-4B65-A54F-1D7BC6ECAFD3}">
  <dimension ref="A1:G37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61.140625" bestFit="1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87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325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  <c r="E5" s="26"/>
    </row>
    <row r="6" spans="1:7" ht="16.5" customHeight="1" thickTop="1" thickBot="1" x14ac:dyDescent="0.25">
      <c r="A6" s="64"/>
      <c r="B6" s="10" t="s">
        <v>6</v>
      </c>
      <c r="C6" s="66"/>
      <c r="E6" s="9"/>
    </row>
    <row r="7" spans="1:7" ht="13.5" customHeight="1" thickTop="1" x14ac:dyDescent="0.25">
      <c r="A7" s="43" t="s">
        <v>21</v>
      </c>
      <c r="B7" s="45"/>
      <c r="C7" s="42"/>
    </row>
    <row r="8" spans="1:7" ht="15" x14ac:dyDescent="0.25">
      <c r="A8" s="55" t="s">
        <v>264</v>
      </c>
      <c r="B8" s="45">
        <v>141.38720999999998</v>
      </c>
      <c r="C8" s="42">
        <v>15.03</v>
      </c>
    </row>
    <row r="9" spans="1:7" ht="15" x14ac:dyDescent="0.25">
      <c r="A9" s="55" t="s">
        <v>244</v>
      </c>
      <c r="B9" s="45">
        <v>104.13548999999999</v>
      </c>
      <c r="C9" s="42">
        <v>11.07</v>
      </c>
    </row>
    <row r="10" spans="1:7" ht="15" x14ac:dyDescent="0.25">
      <c r="A10" s="55" t="s">
        <v>219</v>
      </c>
      <c r="B10" s="45">
        <v>87.202889999999982</v>
      </c>
      <c r="C10" s="42">
        <v>9.27</v>
      </c>
    </row>
    <row r="11" spans="1:7" ht="15" x14ac:dyDescent="0.25">
      <c r="A11" s="55" t="s">
        <v>28</v>
      </c>
      <c r="B11" s="45">
        <v>36.02881</v>
      </c>
      <c r="C11" s="42">
        <v>3.83</v>
      </c>
    </row>
    <row r="12" spans="1:7" ht="15" x14ac:dyDescent="0.25">
      <c r="A12" s="55" t="s">
        <v>126</v>
      </c>
      <c r="B12" s="45">
        <v>30.666819999999998</v>
      </c>
      <c r="C12" s="42">
        <v>3.26</v>
      </c>
    </row>
    <row r="13" spans="1:7" ht="15" x14ac:dyDescent="0.25">
      <c r="A13" s="55" t="s">
        <v>200</v>
      </c>
      <c r="B13" s="45">
        <v>30.290539999999996</v>
      </c>
      <c r="C13" s="42">
        <v>3.2199999999999998</v>
      </c>
    </row>
    <row r="14" spans="1:7" ht="15" x14ac:dyDescent="0.25">
      <c r="A14" s="55" t="s">
        <v>160</v>
      </c>
      <c r="B14" s="45">
        <v>28.221</v>
      </c>
      <c r="C14" s="42">
        <v>3</v>
      </c>
    </row>
    <row r="15" spans="1:7" ht="15" x14ac:dyDescent="0.25">
      <c r="A15" s="55" t="s">
        <v>207</v>
      </c>
      <c r="B15" s="45">
        <v>25.022619999999996</v>
      </c>
      <c r="C15" s="42">
        <v>2.6599999999999997</v>
      </c>
    </row>
    <row r="16" spans="1:7" ht="15" x14ac:dyDescent="0.25">
      <c r="A16" s="55" t="s">
        <v>170</v>
      </c>
      <c r="B16" s="45">
        <v>23.235289999999996</v>
      </c>
      <c r="C16" s="42">
        <v>2.4699999999999998</v>
      </c>
    </row>
    <row r="17" spans="1:3" ht="15" x14ac:dyDescent="0.25">
      <c r="A17" s="55" t="s">
        <v>324</v>
      </c>
      <c r="B17" s="45">
        <v>19.660629999999998</v>
      </c>
      <c r="C17" s="42">
        <v>2.09</v>
      </c>
    </row>
    <row r="18" spans="1:3" ht="15" x14ac:dyDescent="0.25">
      <c r="A18" s="43" t="s">
        <v>15</v>
      </c>
      <c r="B18" s="51">
        <f>SUM(B8:B17)</f>
        <v>525.85130000000004</v>
      </c>
      <c r="C18" s="44">
        <f>SUM(C8:C17)</f>
        <v>55.899999999999991</v>
      </c>
    </row>
    <row r="19" spans="1:3" ht="15" x14ac:dyDescent="0.25">
      <c r="A19" s="41"/>
      <c r="B19" s="45"/>
      <c r="C19" s="42"/>
    </row>
    <row r="20" spans="1:3" ht="15" x14ac:dyDescent="0.25">
      <c r="A20" s="43" t="s">
        <v>23</v>
      </c>
      <c r="B20" s="45"/>
      <c r="C20" s="42"/>
    </row>
    <row r="21" spans="1:3" ht="15" x14ac:dyDescent="0.25">
      <c r="A21" s="55" t="s">
        <v>139</v>
      </c>
      <c r="B21" s="45">
        <v>47.223140000000001</v>
      </c>
      <c r="C21" s="42">
        <v>5.0200000000000005</v>
      </c>
    </row>
    <row r="22" spans="1:3" ht="15" x14ac:dyDescent="0.25">
      <c r="A22" s="55" t="s">
        <v>221</v>
      </c>
      <c r="B22" s="45">
        <v>43.930689999999998</v>
      </c>
      <c r="C22" s="42">
        <v>4.67</v>
      </c>
    </row>
    <row r="23" spans="1:3" ht="15" x14ac:dyDescent="0.25">
      <c r="A23" s="55" t="s">
        <v>220</v>
      </c>
      <c r="B23" s="45">
        <v>34.241479999999996</v>
      </c>
      <c r="C23" s="42">
        <v>3.64</v>
      </c>
    </row>
    <row r="24" spans="1:3" ht="15" x14ac:dyDescent="0.25">
      <c r="A24" s="55" t="s">
        <v>223</v>
      </c>
      <c r="B24" s="45">
        <v>29.914259999999999</v>
      </c>
      <c r="C24" s="42">
        <v>3.18</v>
      </c>
    </row>
    <row r="25" spans="1:3" ht="15" x14ac:dyDescent="0.25">
      <c r="A25" s="55" t="s">
        <v>151</v>
      </c>
      <c r="B25" s="45">
        <v>24.928549999999994</v>
      </c>
      <c r="C25" s="42">
        <v>2.65</v>
      </c>
    </row>
    <row r="26" spans="1:3" ht="15" x14ac:dyDescent="0.25">
      <c r="A26" s="55" t="s">
        <v>168</v>
      </c>
      <c r="B26" s="45">
        <v>14.204569999999999</v>
      </c>
      <c r="C26" s="42">
        <v>1.51</v>
      </c>
    </row>
    <row r="27" spans="1:3" ht="15" x14ac:dyDescent="0.25">
      <c r="A27" s="55" t="s">
        <v>156</v>
      </c>
      <c r="B27" s="45">
        <v>12.981659999999998</v>
      </c>
      <c r="C27" s="42">
        <v>1.38</v>
      </c>
    </row>
    <row r="28" spans="1:3" ht="15" x14ac:dyDescent="0.25">
      <c r="A28" s="55" t="s">
        <v>281</v>
      </c>
      <c r="B28" s="45">
        <v>12.41724</v>
      </c>
      <c r="C28" s="42">
        <v>1.32</v>
      </c>
    </row>
    <row r="29" spans="1:3" ht="15" x14ac:dyDescent="0.25">
      <c r="A29" s="55" t="s">
        <v>208</v>
      </c>
      <c r="B29" s="45">
        <v>11.47654</v>
      </c>
      <c r="C29" s="42">
        <v>1.22</v>
      </c>
    </row>
    <row r="30" spans="1:3" ht="15" x14ac:dyDescent="0.25">
      <c r="A30" s="41" t="s">
        <v>222</v>
      </c>
      <c r="B30" s="45">
        <v>10.159560000000001</v>
      </c>
      <c r="C30" s="42">
        <v>1.08</v>
      </c>
    </row>
    <row r="31" spans="1:3" ht="15" x14ac:dyDescent="0.25">
      <c r="A31" s="43" t="s">
        <v>15</v>
      </c>
      <c r="B31" s="51">
        <f>SUM(B21:B30)</f>
        <v>241.47769</v>
      </c>
      <c r="C31" s="44">
        <f>SUM(C21:C30)</f>
        <v>25.67</v>
      </c>
    </row>
    <row r="32" spans="1:3" ht="15" x14ac:dyDescent="0.25">
      <c r="A32" s="41"/>
      <c r="B32" s="45"/>
      <c r="C32" s="42"/>
    </row>
    <row r="33" spans="1:3" ht="15" x14ac:dyDescent="0.25">
      <c r="A33" s="43" t="s">
        <v>16</v>
      </c>
      <c r="B33" s="51">
        <v>47.129069999999992</v>
      </c>
      <c r="C33" s="44">
        <v>5.01</v>
      </c>
    </row>
    <row r="34" spans="1:3" ht="15" x14ac:dyDescent="0.25">
      <c r="A34" s="41"/>
      <c r="B34" s="45"/>
      <c r="C34" s="42"/>
    </row>
    <row r="35" spans="1:3" ht="15" x14ac:dyDescent="0.25">
      <c r="A35" s="43" t="s">
        <v>17</v>
      </c>
      <c r="B35" s="51">
        <v>126.24194000000001</v>
      </c>
      <c r="C35" s="44">
        <v>13.420000000000002</v>
      </c>
    </row>
    <row r="36" spans="1:3" ht="15" x14ac:dyDescent="0.25">
      <c r="A36" s="41"/>
      <c r="B36" s="45"/>
      <c r="C36" s="42"/>
    </row>
    <row r="37" spans="1:3" ht="15" x14ac:dyDescent="0.25">
      <c r="A37" s="48" t="s">
        <v>18</v>
      </c>
      <c r="B37" s="56">
        <f>SUM(B18,B31,B33,B35)</f>
        <v>940.69999999999993</v>
      </c>
      <c r="C37" s="50">
        <f>SUM(C18,C31,C33,C35)</f>
        <v>100</v>
      </c>
    </row>
  </sheetData>
  <mergeCells count="2">
    <mergeCell ref="A5:A6"/>
    <mergeCell ref="C5:C6"/>
  </mergeCells>
  <hyperlinks>
    <hyperlink ref="A1" location="Index!A1" display="Back to Links" xr:uid="{DB80F515-7AC5-45E2-9D03-274EEE3CF20D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75D43-338C-4684-BCE7-58A6D6D7B6DA}">
  <dimension ref="A1:G3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2.140625" customWidth="1"/>
    <col min="2" max="2" width="21.7109375" style="9" customWidth="1"/>
    <col min="3" max="3" width="19.5703125" style="9" customWidth="1"/>
    <col min="4" max="4" width="20.140625" customWidth="1"/>
    <col min="5" max="5" width="18.28515625" customWidth="1"/>
    <col min="6" max="6" width="18" customWidth="1"/>
    <col min="7" max="7" width="17" customWidth="1"/>
    <col min="8" max="8" width="10" bestFit="1" customWidth="1"/>
  </cols>
  <sheetData>
    <row r="1" spans="1:7" ht="15" customHeight="1" x14ac:dyDescent="0.2">
      <c r="A1" s="34" t="s">
        <v>2</v>
      </c>
      <c r="B1" s="3"/>
      <c r="C1" s="3"/>
      <c r="D1" s="2"/>
      <c r="E1" s="5"/>
      <c r="F1" s="9"/>
      <c r="G1" s="7"/>
    </row>
    <row r="2" spans="1:7" s="15" customFormat="1" ht="18.75" customHeight="1" thickBot="1" x14ac:dyDescent="0.3">
      <c r="A2" s="19" t="s">
        <v>68</v>
      </c>
      <c r="B2" s="28"/>
      <c r="C2" s="28"/>
      <c r="D2" s="11"/>
      <c r="E2" s="12"/>
      <c r="F2" s="13"/>
      <c r="G2" s="14"/>
    </row>
    <row r="3" spans="1:7" s="18" customFormat="1" ht="30" customHeight="1" thickBot="1" x14ac:dyDescent="0.25">
      <c r="A3" s="20" t="s">
        <v>326</v>
      </c>
      <c r="B3" s="3"/>
      <c r="C3" s="3"/>
      <c r="D3" s="1"/>
      <c r="E3" s="1"/>
    </row>
    <row r="4" spans="1:7" s="15" customFormat="1" ht="16.5" customHeight="1" thickBot="1" x14ac:dyDescent="0.3">
      <c r="A4" s="16"/>
      <c r="B4" s="28"/>
      <c r="C4" s="28"/>
      <c r="D4" s="11"/>
    </row>
    <row r="5" spans="1:7" s="15" customFormat="1" ht="16.5" customHeight="1" thickTop="1" x14ac:dyDescent="0.25">
      <c r="A5" s="63" t="s">
        <v>3</v>
      </c>
      <c r="B5" s="8" t="s">
        <v>4</v>
      </c>
      <c r="C5" s="65" t="s">
        <v>5</v>
      </c>
    </row>
    <row r="6" spans="1:7" ht="16.5" customHeight="1" thickTop="1" thickBot="1" x14ac:dyDescent="0.25">
      <c r="A6" s="64"/>
      <c r="B6" s="10" t="s">
        <v>6</v>
      </c>
      <c r="C6" s="66"/>
      <c r="E6" s="26"/>
    </row>
    <row r="7" spans="1:7" ht="13.5" customHeight="1" thickTop="1" x14ac:dyDescent="0.25">
      <c r="A7" s="43" t="s">
        <v>21</v>
      </c>
      <c r="B7" s="45"/>
      <c r="C7" s="42"/>
    </row>
    <row r="8" spans="1:7" ht="15" x14ac:dyDescent="0.25">
      <c r="A8" s="41" t="s">
        <v>264</v>
      </c>
      <c r="B8" s="45">
        <v>1.0214399999999997</v>
      </c>
      <c r="C8" s="42">
        <v>17.919999999999998</v>
      </c>
    </row>
    <row r="9" spans="1:7" ht="15" x14ac:dyDescent="0.25">
      <c r="A9" s="41" t="s">
        <v>219</v>
      </c>
      <c r="B9" s="45">
        <v>0.9855299999999998</v>
      </c>
      <c r="C9" s="42">
        <v>17.29</v>
      </c>
    </row>
    <row r="10" spans="1:7" ht="15" x14ac:dyDescent="0.25">
      <c r="A10" s="41" t="s">
        <v>160</v>
      </c>
      <c r="B10" s="45">
        <v>0.96899999999999986</v>
      </c>
      <c r="C10" s="42">
        <v>17</v>
      </c>
    </row>
    <row r="11" spans="1:7" ht="15" x14ac:dyDescent="0.25">
      <c r="A11" s="41" t="s">
        <v>28</v>
      </c>
      <c r="B11" s="45">
        <v>0.55859999999999999</v>
      </c>
      <c r="C11" s="42">
        <v>9.8000000000000007</v>
      </c>
    </row>
    <row r="12" spans="1:7" ht="15" x14ac:dyDescent="0.25">
      <c r="A12" s="41" t="s">
        <v>126</v>
      </c>
      <c r="B12" s="45">
        <v>0.20633999999999997</v>
      </c>
      <c r="C12" s="42">
        <v>3.62</v>
      </c>
    </row>
    <row r="13" spans="1:7" ht="15" x14ac:dyDescent="0.25">
      <c r="A13" s="41" t="s">
        <v>127</v>
      </c>
      <c r="B13" s="45">
        <v>0.15788999999999997</v>
      </c>
      <c r="C13" s="42">
        <v>2.77</v>
      </c>
    </row>
    <row r="14" spans="1:7" ht="15" x14ac:dyDescent="0.25">
      <c r="A14" s="41" t="s">
        <v>244</v>
      </c>
      <c r="B14" s="45">
        <v>0.10886999999999998</v>
      </c>
      <c r="C14" s="42">
        <v>1.91</v>
      </c>
    </row>
    <row r="15" spans="1:7" ht="15" x14ac:dyDescent="0.25">
      <c r="A15" s="41" t="s">
        <v>22</v>
      </c>
      <c r="B15" s="45">
        <v>9.2909999999999993E-2</v>
      </c>
      <c r="C15" s="42">
        <v>1.63</v>
      </c>
    </row>
    <row r="16" spans="1:7" ht="15" x14ac:dyDescent="0.25">
      <c r="A16" s="41" t="s">
        <v>112</v>
      </c>
      <c r="B16" s="45">
        <v>3.7619999999999994E-2</v>
      </c>
      <c r="C16" s="42">
        <v>0.66</v>
      </c>
    </row>
    <row r="17" spans="1:3" ht="15" x14ac:dyDescent="0.25">
      <c r="A17" s="41" t="s">
        <v>128</v>
      </c>
      <c r="B17" s="45">
        <v>2.9639999999999996E-2</v>
      </c>
      <c r="C17" s="42">
        <v>0.52</v>
      </c>
    </row>
    <row r="18" spans="1:3" ht="15" x14ac:dyDescent="0.25">
      <c r="A18" s="43" t="s">
        <v>15</v>
      </c>
      <c r="B18" s="51">
        <f>SUM(B8:B17)</f>
        <v>4.1678399999999991</v>
      </c>
      <c r="C18" s="44">
        <f>SUM(C8:C17)</f>
        <v>73.119999999999976</v>
      </c>
    </row>
    <row r="19" spans="1:3" ht="15" x14ac:dyDescent="0.25">
      <c r="A19" s="41"/>
      <c r="B19" s="45"/>
      <c r="C19" s="42"/>
    </row>
    <row r="20" spans="1:3" ht="15" x14ac:dyDescent="0.25">
      <c r="A20" s="43" t="s">
        <v>138</v>
      </c>
      <c r="B20" s="45"/>
      <c r="C20" s="42"/>
    </row>
    <row r="21" spans="1:3" ht="15" x14ac:dyDescent="0.25">
      <c r="A21" s="55" t="s">
        <v>139</v>
      </c>
      <c r="B21" s="45">
        <v>0.40013999999999994</v>
      </c>
      <c r="C21" s="42">
        <v>7.02</v>
      </c>
    </row>
    <row r="22" spans="1:3" ht="15" x14ac:dyDescent="0.25">
      <c r="A22" s="55" t="s">
        <v>281</v>
      </c>
      <c r="B22" s="45">
        <v>0.30266999999999999</v>
      </c>
      <c r="C22" s="42">
        <v>5.3100000000000005</v>
      </c>
    </row>
    <row r="23" spans="1:3" ht="15" x14ac:dyDescent="0.25">
      <c r="A23" s="55" t="s">
        <v>155</v>
      </c>
      <c r="B23" s="45">
        <v>0.20177999999999996</v>
      </c>
      <c r="C23" s="42">
        <v>3.54</v>
      </c>
    </row>
    <row r="24" spans="1:3" ht="15" x14ac:dyDescent="0.25">
      <c r="A24" s="55" t="s">
        <v>169</v>
      </c>
      <c r="B24" s="45">
        <v>0.10259999999999998</v>
      </c>
      <c r="C24" s="42">
        <v>1.7999999999999998</v>
      </c>
    </row>
    <row r="25" spans="1:3" ht="15" x14ac:dyDescent="0.25">
      <c r="A25" s="55" t="s">
        <v>276</v>
      </c>
      <c r="B25" s="45">
        <v>0.10203</v>
      </c>
      <c r="C25" s="42">
        <v>1.79</v>
      </c>
    </row>
    <row r="26" spans="1:3" ht="15.75" thickBot="1" x14ac:dyDescent="0.3">
      <c r="A26" s="55" t="s">
        <v>198</v>
      </c>
      <c r="B26" s="45">
        <v>7.6380000000000003E-2</v>
      </c>
      <c r="C26" s="42">
        <v>1.34</v>
      </c>
    </row>
    <row r="27" spans="1:3" ht="15.75" thickBot="1" x14ac:dyDescent="0.3">
      <c r="A27" s="43" t="s">
        <v>15</v>
      </c>
      <c r="B27" s="51">
        <f>SUM(B21:B26)</f>
        <v>1.1856</v>
      </c>
      <c r="C27" s="44">
        <f>SUM(C21:C26)</f>
        <v>20.8</v>
      </c>
    </row>
    <row r="28" spans="1:3" ht="15" x14ac:dyDescent="0.25">
      <c r="A28" s="41"/>
      <c r="B28" s="45"/>
      <c r="C28" s="42"/>
    </row>
    <row r="29" spans="1:3" ht="15" x14ac:dyDescent="0.25">
      <c r="A29" s="43" t="s">
        <v>16</v>
      </c>
      <c r="B29" s="51">
        <v>0.30323999999999995</v>
      </c>
      <c r="C29" s="44">
        <v>5.3199999999999994</v>
      </c>
    </row>
    <row r="30" spans="1:3" ht="15" x14ac:dyDescent="0.25">
      <c r="A30" s="41"/>
      <c r="B30" s="45"/>
      <c r="C30" s="42"/>
    </row>
    <row r="31" spans="1:3" ht="15" x14ac:dyDescent="0.25">
      <c r="A31" s="43" t="s">
        <v>17</v>
      </c>
      <c r="B31" s="51">
        <v>4.3320000000001101E-2</v>
      </c>
      <c r="C31" s="44">
        <v>0.76000000000001933</v>
      </c>
    </row>
    <row r="32" spans="1:3" ht="15" x14ac:dyDescent="0.25">
      <c r="A32" s="41"/>
      <c r="B32" s="45"/>
      <c r="C32" s="42"/>
    </row>
    <row r="33" spans="1:3" ht="15" x14ac:dyDescent="0.25">
      <c r="A33" s="48" t="s">
        <v>18</v>
      </c>
      <c r="B33" s="56">
        <f>SUM(B18,B27,B29,B31)</f>
        <v>5.7</v>
      </c>
      <c r="C33" s="50">
        <f>SUM(C18,C27,C29,C31)</f>
        <v>99.999999999999986</v>
      </c>
    </row>
  </sheetData>
  <mergeCells count="2">
    <mergeCell ref="A5:A6"/>
    <mergeCell ref="C5:C6"/>
  </mergeCells>
  <hyperlinks>
    <hyperlink ref="A1" location="Index!A1" display="Back to Links" xr:uid="{1DBD6B0F-07A6-4B71-9B2F-D74974757D36}"/>
  </hyperlinks>
  <pageMargins left="0.7" right="0.7" top="0.75" bottom="0.75" header="0.3" footer="0.3"/>
  <pageSetup paperSize="9" orientation="portrait" verticalDpi="0"/>
  <headerFooter>
    <oddFooter>&amp;L&amp;"Calibri"&amp;9 &amp;K000000#Cogencis Information classification: Official_x000D_&amp;1#&amp;"Aptos"&amp;9&amp;K000000 Cogencis Information classification: Official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003B-7BDD-46A2-9402-73548772DFC1}">
  <dimension ref="A1:C25"/>
  <sheetViews>
    <sheetView workbookViewId="0"/>
  </sheetViews>
  <sheetFormatPr defaultRowHeight="12.75" x14ac:dyDescent="0.2"/>
  <cols>
    <col min="1" max="1" width="74.28515625" bestFit="1" customWidth="1"/>
    <col min="2" max="2" width="21.7109375" style="9" bestFit="1" customWidth="1"/>
    <col min="3" max="3" width="20.85546875" style="9" bestFit="1" customWidth="1"/>
  </cols>
  <sheetData>
    <row r="1" spans="1:3" ht="15" x14ac:dyDescent="0.2">
      <c r="A1" s="34" t="s">
        <v>2</v>
      </c>
      <c r="B1" s="3"/>
      <c r="C1" s="3"/>
    </row>
    <row r="2" spans="1:3" ht="18.75" thickBot="1" x14ac:dyDescent="0.3">
      <c r="A2" s="19" t="s">
        <v>106</v>
      </c>
      <c r="B2" s="28"/>
      <c r="C2" s="28"/>
    </row>
    <row r="3" spans="1:3" ht="26.25" customHeight="1" thickBot="1" x14ac:dyDescent="0.25">
      <c r="A3" s="37" t="s">
        <v>320</v>
      </c>
      <c r="B3" s="3"/>
      <c r="C3" s="3"/>
    </row>
    <row r="4" spans="1:3" ht="16.5" thickBot="1" x14ac:dyDescent="0.3">
      <c r="A4" s="38"/>
      <c r="B4" s="28"/>
      <c r="C4" s="28"/>
    </row>
    <row r="5" spans="1:3" ht="17.25" thickTop="1" thickBot="1" x14ac:dyDescent="0.3">
      <c r="A5" s="68" t="s">
        <v>3</v>
      </c>
      <c r="B5" s="8" t="s">
        <v>4</v>
      </c>
      <c r="C5" s="65" t="s">
        <v>5</v>
      </c>
    </row>
    <row r="6" spans="1:3" ht="17.25" thickTop="1" thickBot="1" x14ac:dyDescent="0.25">
      <c r="A6" s="64"/>
      <c r="B6" s="10" t="s">
        <v>6</v>
      </c>
      <c r="C6" s="66"/>
    </row>
    <row r="7" spans="1:3" ht="16.5" thickTop="1" thickBot="1" x14ac:dyDescent="0.3">
      <c r="A7" s="43" t="s">
        <v>19</v>
      </c>
      <c r="B7" s="45"/>
      <c r="C7" s="42"/>
    </row>
    <row r="8" spans="1:3" ht="15" x14ac:dyDescent="0.25">
      <c r="A8" s="41" t="s">
        <v>186</v>
      </c>
      <c r="B8" s="45">
        <v>19.930499999999999</v>
      </c>
      <c r="C8" s="42">
        <v>3.09</v>
      </c>
    </row>
    <row r="9" spans="1:3" ht="15" x14ac:dyDescent="0.25">
      <c r="A9" s="41" t="s">
        <v>109</v>
      </c>
      <c r="B9" s="45">
        <v>18.124500000000001</v>
      </c>
      <c r="C9" s="42">
        <v>2.81</v>
      </c>
    </row>
    <row r="10" spans="1:3" ht="15" x14ac:dyDescent="0.25">
      <c r="A10" s="41" t="s">
        <v>132</v>
      </c>
      <c r="B10" s="45">
        <v>17.9955</v>
      </c>
      <c r="C10" s="42">
        <v>2.79</v>
      </c>
    </row>
    <row r="11" spans="1:3" ht="15" x14ac:dyDescent="0.25">
      <c r="A11" s="41" t="s">
        <v>107</v>
      </c>
      <c r="B11" s="45">
        <v>17.866500000000002</v>
      </c>
      <c r="C11" s="42">
        <v>2.77</v>
      </c>
    </row>
    <row r="12" spans="1:3" ht="15" x14ac:dyDescent="0.25">
      <c r="A12" s="41" t="s">
        <v>242</v>
      </c>
      <c r="B12" s="45">
        <v>17.286000000000001</v>
      </c>
      <c r="C12" s="42">
        <v>2.68</v>
      </c>
    </row>
    <row r="13" spans="1:3" ht="15" x14ac:dyDescent="0.25">
      <c r="A13" s="41" t="s">
        <v>327</v>
      </c>
      <c r="B13" s="45">
        <v>17.028000000000002</v>
      </c>
      <c r="C13" s="42">
        <v>2.64</v>
      </c>
    </row>
    <row r="14" spans="1:3" ht="15" x14ac:dyDescent="0.25">
      <c r="A14" s="41" t="s">
        <v>131</v>
      </c>
      <c r="B14" s="45">
        <v>17.028000000000002</v>
      </c>
      <c r="C14" s="42">
        <v>2.64</v>
      </c>
    </row>
    <row r="15" spans="1:3" ht="15" x14ac:dyDescent="0.25">
      <c r="A15" s="41" t="s">
        <v>328</v>
      </c>
      <c r="B15" s="45">
        <v>16.834500000000002</v>
      </c>
      <c r="C15" s="42">
        <v>2.6100000000000003</v>
      </c>
    </row>
    <row r="16" spans="1:3" ht="15" x14ac:dyDescent="0.25">
      <c r="A16" s="41" t="s">
        <v>105</v>
      </c>
      <c r="B16" s="45">
        <v>16.512</v>
      </c>
      <c r="C16" s="42">
        <v>2.56</v>
      </c>
    </row>
    <row r="17" spans="1:3" ht="15.75" thickBot="1" x14ac:dyDescent="0.3">
      <c r="A17" s="41" t="s">
        <v>241</v>
      </c>
      <c r="B17" s="45">
        <v>16.447499999999998</v>
      </c>
      <c r="C17" s="42">
        <v>2.5499999999999998</v>
      </c>
    </row>
    <row r="18" spans="1:3" ht="15.75" thickBot="1" x14ac:dyDescent="0.3">
      <c r="A18" s="43" t="s">
        <v>15</v>
      </c>
      <c r="B18" s="51">
        <f>SUM(B8:B17)</f>
        <v>175.053</v>
      </c>
      <c r="C18" s="44">
        <f>SUM(C8:C17)</f>
        <v>27.14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16</v>
      </c>
      <c r="B20" s="51">
        <v>5.6114999999999995</v>
      </c>
      <c r="C20" s="44">
        <v>0.86999999999999988</v>
      </c>
    </row>
    <row r="21" spans="1:3" ht="15.75" thickBot="1" x14ac:dyDescent="0.3">
      <c r="A21" s="41"/>
      <c r="B21" s="45"/>
      <c r="C21" s="42"/>
    </row>
    <row r="22" spans="1:3" ht="15.75" thickBot="1" x14ac:dyDescent="0.3">
      <c r="A22" s="43" t="s">
        <v>17</v>
      </c>
      <c r="B22" s="51">
        <v>464.33549999999997</v>
      </c>
      <c r="C22" s="44">
        <v>71.989999999999995</v>
      </c>
    </row>
    <row r="23" spans="1:3" ht="15.75" thickBot="1" x14ac:dyDescent="0.3">
      <c r="A23" s="41"/>
      <c r="B23" s="45"/>
      <c r="C23" s="42"/>
    </row>
    <row r="24" spans="1:3" ht="15.75" thickBot="1" x14ac:dyDescent="0.3">
      <c r="A24" s="48" t="s">
        <v>18</v>
      </c>
      <c r="B24" s="56">
        <f>SUM(B18,B20,B22)</f>
        <v>645</v>
      </c>
      <c r="C24" s="50">
        <f>SUM(C18,C20,C22)</f>
        <v>100</v>
      </c>
    </row>
    <row r="25" spans="1:3" ht="13.5" thickTop="1" x14ac:dyDescent="0.2"/>
  </sheetData>
  <mergeCells count="2">
    <mergeCell ref="A5:A6"/>
    <mergeCell ref="C5:C6"/>
  </mergeCells>
  <hyperlinks>
    <hyperlink ref="A1" location="Index!A1" display="Back to Links" xr:uid="{D14A4A51-2602-443E-9D19-F6D5111510BE}"/>
  </hyperlinks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49AD-E160-4421-B2EB-797406B1BF30}">
  <dimension ref="A1:C25"/>
  <sheetViews>
    <sheetView workbookViewId="0"/>
  </sheetViews>
  <sheetFormatPr defaultRowHeight="12.75" x14ac:dyDescent="0.2"/>
  <cols>
    <col min="1" max="1" width="74.28515625" bestFit="1" customWidth="1"/>
    <col min="2" max="2" width="21.7109375" bestFit="1" customWidth="1"/>
    <col min="3" max="3" width="20.85546875" bestFit="1" customWidth="1"/>
  </cols>
  <sheetData>
    <row r="1" spans="1:3" ht="15" x14ac:dyDescent="0.2">
      <c r="A1" s="34" t="s">
        <v>2</v>
      </c>
      <c r="B1" s="3"/>
      <c r="C1" s="3"/>
    </row>
    <row r="2" spans="1:3" ht="18.75" thickBot="1" x14ac:dyDescent="0.3">
      <c r="A2" s="19" t="s">
        <v>110</v>
      </c>
      <c r="B2" s="28"/>
      <c r="C2" s="54"/>
    </row>
    <row r="3" spans="1:3" ht="26.25" customHeight="1" thickBot="1" x14ac:dyDescent="0.25">
      <c r="A3" s="37" t="s">
        <v>329</v>
      </c>
      <c r="B3" s="3"/>
      <c r="C3" s="3"/>
    </row>
    <row r="4" spans="1:3" ht="16.5" thickBot="1" x14ac:dyDescent="0.3">
      <c r="A4" s="38"/>
      <c r="B4" s="28"/>
      <c r="C4" s="28"/>
    </row>
    <row r="5" spans="1:3" ht="17.25" thickTop="1" thickBot="1" x14ac:dyDescent="0.3">
      <c r="A5" s="68" t="s">
        <v>3</v>
      </c>
      <c r="B5" s="8" t="s">
        <v>4</v>
      </c>
      <c r="C5" s="65" t="s">
        <v>5</v>
      </c>
    </row>
    <row r="6" spans="1:3" ht="17.25" thickTop="1" thickBot="1" x14ac:dyDescent="0.25">
      <c r="A6" s="64"/>
      <c r="B6" s="10" t="s">
        <v>6</v>
      </c>
      <c r="C6" s="67"/>
    </row>
    <row r="7" spans="1:3" ht="16.5" thickTop="1" thickBot="1" x14ac:dyDescent="0.3">
      <c r="A7" s="43" t="s">
        <v>19</v>
      </c>
      <c r="B7" s="47"/>
      <c r="C7" s="42"/>
    </row>
    <row r="8" spans="1:3" ht="15" x14ac:dyDescent="0.25">
      <c r="A8" s="41" t="s">
        <v>186</v>
      </c>
      <c r="B8" s="45">
        <v>7.8694000000000006</v>
      </c>
      <c r="C8" s="42">
        <v>3.08</v>
      </c>
    </row>
    <row r="9" spans="1:3" ht="15" x14ac:dyDescent="0.25">
      <c r="A9" s="41" t="s">
        <v>109</v>
      </c>
      <c r="B9" s="45">
        <v>7.1795500000000008</v>
      </c>
      <c r="C9" s="42">
        <v>2.81</v>
      </c>
    </row>
    <row r="10" spans="1:3" ht="15" x14ac:dyDescent="0.25">
      <c r="A10" s="41" t="s">
        <v>132</v>
      </c>
      <c r="B10" s="45">
        <v>7.12845</v>
      </c>
      <c r="C10" s="42">
        <v>2.79</v>
      </c>
    </row>
    <row r="11" spans="1:3" ht="15" x14ac:dyDescent="0.25">
      <c r="A11" s="41" t="s">
        <v>107</v>
      </c>
      <c r="B11" s="45">
        <v>7.07735</v>
      </c>
      <c r="C11" s="42">
        <v>2.77</v>
      </c>
    </row>
    <row r="12" spans="1:3" ht="15" x14ac:dyDescent="0.25">
      <c r="A12" s="41" t="s">
        <v>242</v>
      </c>
      <c r="B12" s="45">
        <v>6.8474000000000004</v>
      </c>
      <c r="C12" s="42">
        <v>2.68</v>
      </c>
    </row>
    <row r="13" spans="1:3" ht="15" x14ac:dyDescent="0.25">
      <c r="A13" s="41" t="s">
        <v>327</v>
      </c>
      <c r="B13" s="45">
        <v>6.7451999999999996</v>
      </c>
      <c r="C13" s="42">
        <v>2.64</v>
      </c>
    </row>
    <row r="14" spans="1:3" ht="15" x14ac:dyDescent="0.25">
      <c r="A14" s="41" t="s">
        <v>131</v>
      </c>
      <c r="B14" s="45">
        <v>6.7451999999999996</v>
      </c>
      <c r="C14" s="42">
        <v>2.64</v>
      </c>
    </row>
    <row r="15" spans="1:3" ht="15" x14ac:dyDescent="0.25">
      <c r="A15" s="41" t="s">
        <v>328</v>
      </c>
      <c r="B15" s="45">
        <v>6.6430000000000007</v>
      </c>
      <c r="C15" s="42">
        <v>2.6</v>
      </c>
    </row>
    <row r="16" spans="1:3" ht="15" x14ac:dyDescent="0.25">
      <c r="A16" s="41" t="s">
        <v>105</v>
      </c>
      <c r="B16" s="45">
        <v>6.5408000000000008</v>
      </c>
      <c r="C16" s="42">
        <v>2.56</v>
      </c>
    </row>
    <row r="17" spans="1:3" ht="15.75" thickBot="1" x14ac:dyDescent="0.3">
      <c r="A17" s="41" t="s">
        <v>241</v>
      </c>
      <c r="B17" s="45">
        <v>6.51525</v>
      </c>
      <c r="C17" s="42">
        <v>2.5499999999999998</v>
      </c>
    </row>
    <row r="18" spans="1:3" ht="15.75" thickBot="1" x14ac:dyDescent="0.3">
      <c r="A18" s="43" t="s">
        <v>15</v>
      </c>
      <c r="B18" s="46">
        <f>SUM(B8:B17)</f>
        <v>69.291599999999988</v>
      </c>
      <c r="C18" s="44">
        <f>SUM(C8:C17)</f>
        <v>27.12</v>
      </c>
    </row>
    <row r="19" spans="1:3" ht="15.75" thickBot="1" x14ac:dyDescent="0.3">
      <c r="A19" s="41"/>
      <c r="B19" s="47"/>
      <c r="C19" s="42"/>
    </row>
    <row r="20" spans="1:3" ht="15.75" thickBot="1" x14ac:dyDescent="0.3">
      <c r="A20" s="43" t="s">
        <v>16</v>
      </c>
      <c r="B20" s="51">
        <v>2.6572000000000005</v>
      </c>
      <c r="C20" s="44">
        <v>1.04</v>
      </c>
    </row>
    <row r="21" spans="1:3" ht="15.75" thickBot="1" x14ac:dyDescent="0.3">
      <c r="A21" s="41"/>
      <c r="B21" s="47"/>
      <c r="C21" s="42"/>
    </row>
    <row r="22" spans="1:3" ht="15.75" thickBot="1" x14ac:dyDescent="0.3">
      <c r="A22" s="43" t="s">
        <v>17</v>
      </c>
      <c r="B22" s="51">
        <v>183.55120000000002</v>
      </c>
      <c r="C22" s="44">
        <v>71.84</v>
      </c>
    </row>
    <row r="23" spans="1:3" ht="15.75" thickBot="1" x14ac:dyDescent="0.3">
      <c r="A23" s="41"/>
      <c r="B23" s="47"/>
      <c r="C23" s="42"/>
    </row>
    <row r="24" spans="1:3" ht="15.75" thickBot="1" x14ac:dyDescent="0.3">
      <c r="A24" s="48" t="s">
        <v>18</v>
      </c>
      <c r="B24" s="49">
        <f>SUM(B18,B20,B22)</f>
        <v>255.5</v>
      </c>
      <c r="C24" s="50">
        <f>SUM(C18,C20,C22)</f>
        <v>100</v>
      </c>
    </row>
    <row r="25" spans="1:3" ht="13.5" thickTop="1" x14ac:dyDescent="0.2"/>
  </sheetData>
  <mergeCells count="2">
    <mergeCell ref="A5:A6"/>
    <mergeCell ref="C5:C6"/>
  </mergeCells>
  <hyperlinks>
    <hyperlink ref="A1" location="Index!A1" display="Back to Links" xr:uid="{ED944BBE-1EF3-431A-967C-36A9F851CA2E}"/>
  </hyperlinks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915B-6CA0-4CD7-A0A2-4584D00C049E}">
  <dimension ref="A1:C25"/>
  <sheetViews>
    <sheetView workbookViewId="0"/>
  </sheetViews>
  <sheetFormatPr defaultRowHeight="12.75" x14ac:dyDescent="0.2"/>
  <cols>
    <col min="1" max="1" width="74.28515625" bestFit="1" customWidth="1"/>
    <col min="2" max="2" width="21.7109375" style="9" bestFit="1" customWidth="1"/>
    <col min="3" max="3" width="20.85546875" style="9" bestFit="1" customWidth="1"/>
  </cols>
  <sheetData>
    <row r="1" spans="1:3" ht="15" x14ac:dyDescent="0.2">
      <c r="A1" s="34" t="s">
        <v>2</v>
      </c>
      <c r="B1" s="3"/>
      <c r="C1" s="3"/>
    </row>
    <row r="2" spans="1:3" ht="18.75" thickBot="1" x14ac:dyDescent="0.3">
      <c r="A2" s="19" t="s">
        <v>116</v>
      </c>
      <c r="B2" s="28"/>
      <c r="C2" s="28"/>
    </row>
    <row r="3" spans="1:3" ht="26.25" customHeight="1" thickBot="1" x14ac:dyDescent="0.25">
      <c r="A3" s="37" t="s">
        <v>331</v>
      </c>
      <c r="B3" s="3"/>
      <c r="C3" s="3"/>
    </row>
    <row r="4" spans="1:3" ht="16.5" thickBot="1" x14ac:dyDescent="0.3">
      <c r="A4" s="38"/>
      <c r="B4" s="28"/>
      <c r="C4" s="28"/>
    </row>
    <row r="5" spans="1:3" ht="17.25" thickTop="1" thickBot="1" x14ac:dyDescent="0.3">
      <c r="A5" s="68" t="s">
        <v>3</v>
      </c>
      <c r="B5" s="8" t="s">
        <v>4</v>
      </c>
      <c r="C5" s="65" t="s">
        <v>5</v>
      </c>
    </row>
    <row r="6" spans="1:3" ht="17.25" thickTop="1" thickBot="1" x14ac:dyDescent="0.25">
      <c r="A6" s="64"/>
      <c r="B6" s="10" t="s">
        <v>6</v>
      </c>
      <c r="C6" s="66"/>
    </row>
    <row r="7" spans="1:3" ht="16.5" thickTop="1" thickBot="1" x14ac:dyDescent="0.3">
      <c r="A7" s="43" t="s">
        <v>19</v>
      </c>
      <c r="B7" s="45"/>
      <c r="C7" s="42"/>
    </row>
    <row r="8" spans="1:3" ht="15" x14ac:dyDescent="0.25">
      <c r="A8" s="41" t="s">
        <v>132</v>
      </c>
      <c r="B8" s="45">
        <v>79.400539999999992</v>
      </c>
      <c r="C8" s="42">
        <v>6.7299999999999995</v>
      </c>
    </row>
    <row r="9" spans="1:3" ht="15" x14ac:dyDescent="0.25">
      <c r="A9" s="41" t="s">
        <v>25</v>
      </c>
      <c r="B9" s="45">
        <v>78.338719999999995</v>
      </c>
      <c r="C9" s="42">
        <v>6.64</v>
      </c>
    </row>
    <row r="10" spans="1:3" ht="15" x14ac:dyDescent="0.25">
      <c r="A10" s="41" t="s">
        <v>133</v>
      </c>
      <c r="B10" s="45">
        <v>76.333059999999989</v>
      </c>
      <c r="C10" s="42">
        <v>6.47</v>
      </c>
    </row>
    <row r="11" spans="1:3" ht="15" x14ac:dyDescent="0.25">
      <c r="A11" s="41" t="s">
        <v>330</v>
      </c>
      <c r="B11" s="45">
        <v>75.62518</v>
      </c>
      <c r="C11" s="42">
        <v>6.41</v>
      </c>
    </row>
    <row r="12" spans="1:3" ht="15" x14ac:dyDescent="0.25">
      <c r="A12" s="41" t="s">
        <v>109</v>
      </c>
      <c r="B12" s="45">
        <v>71.023959999999988</v>
      </c>
      <c r="C12" s="42">
        <v>6.02</v>
      </c>
    </row>
    <row r="13" spans="1:3" ht="15" x14ac:dyDescent="0.25">
      <c r="A13" s="41" t="s">
        <v>107</v>
      </c>
      <c r="B13" s="45">
        <v>54.388780000000004</v>
      </c>
      <c r="C13" s="42">
        <v>4.6100000000000003</v>
      </c>
    </row>
    <row r="14" spans="1:3" ht="15" x14ac:dyDescent="0.25">
      <c r="A14" s="41" t="s">
        <v>108</v>
      </c>
      <c r="B14" s="45">
        <v>51.439279999999997</v>
      </c>
      <c r="C14" s="42">
        <v>4.3600000000000003</v>
      </c>
    </row>
    <row r="15" spans="1:3" ht="15" x14ac:dyDescent="0.25">
      <c r="A15" s="41" t="s">
        <v>240</v>
      </c>
      <c r="B15" s="45">
        <v>46.48411999999999</v>
      </c>
      <c r="C15" s="42">
        <v>3.94</v>
      </c>
    </row>
    <row r="16" spans="1:3" ht="15" x14ac:dyDescent="0.25">
      <c r="A16" s="41" t="s">
        <v>241</v>
      </c>
      <c r="B16" s="45">
        <v>42.944719999999997</v>
      </c>
      <c r="C16" s="42">
        <v>3.64</v>
      </c>
    </row>
    <row r="17" spans="1:3" ht="15.75" thickBot="1" x14ac:dyDescent="0.3">
      <c r="A17" s="41" t="s">
        <v>134</v>
      </c>
      <c r="B17" s="45">
        <v>39.759259999999998</v>
      </c>
      <c r="C17" s="42">
        <v>3.37</v>
      </c>
    </row>
    <row r="18" spans="1:3" ht="15.75" thickBot="1" x14ac:dyDescent="0.3">
      <c r="A18" s="43" t="s">
        <v>15</v>
      </c>
      <c r="B18" s="51">
        <f>SUM(B8:B17)</f>
        <v>615.73761999999999</v>
      </c>
      <c r="C18" s="44">
        <f>SUM(C8:C17)</f>
        <v>52.189999999999991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16</v>
      </c>
      <c r="B20" s="51">
        <v>15.21942</v>
      </c>
      <c r="C20" s="44">
        <v>1.29</v>
      </c>
    </row>
    <row r="21" spans="1:3" ht="15.75" thickBot="1" x14ac:dyDescent="0.3">
      <c r="A21" s="41"/>
      <c r="B21" s="45"/>
      <c r="C21" s="42"/>
    </row>
    <row r="22" spans="1:3" ht="15.75" thickBot="1" x14ac:dyDescent="0.3">
      <c r="A22" s="43" t="s">
        <v>17</v>
      </c>
      <c r="B22" s="51">
        <v>548.84296000000006</v>
      </c>
      <c r="C22" s="44">
        <v>46.52000000000001</v>
      </c>
    </row>
    <row r="23" spans="1:3" ht="15.75" thickBot="1" x14ac:dyDescent="0.3">
      <c r="A23" s="41"/>
      <c r="B23" s="45"/>
      <c r="C23" s="42"/>
    </row>
    <row r="24" spans="1:3" ht="15.75" thickBot="1" x14ac:dyDescent="0.3">
      <c r="A24" s="48" t="s">
        <v>18</v>
      </c>
      <c r="B24" s="56">
        <f>SUM(B18,B20,B22)</f>
        <v>1179.8000000000002</v>
      </c>
      <c r="C24" s="50">
        <f>SUM(C18,C20,C22)</f>
        <v>100</v>
      </c>
    </row>
    <row r="25" spans="1:3" ht="13.5" thickTop="1" x14ac:dyDescent="0.2"/>
  </sheetData>
  <mergeCells count="2">
    <mergeCell ref="A5:A6"/>
    <mergeCell ref="C5:C6"/>
  </mergeCells>
  <hyperlinks>
    <hyperlink ref="A1" location="Index!A1" display="Back to Links" xr:uid="{250DB1FB-5E09-4BFF-B652-17C9879A9E0A}"/>
  </hyperlinks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C92C-FDF1-46F0-9B34-519F97C5C739}">
  <dimension ref="A1:D25"/>
  <sheetViews>
    <sheetView workbookViewId="0"/>
  </sheetViews>
  <sheetFormatPr defaultRowHeight="12.75" x14ac:dyDescent="0.2"/>
  <cols>
    <col min="1" max="1" width="74.28515625" bestFit="1" customWidth="1"/>
    <col min="2" max="2" width="21.7109375" style="9" bestFit="1" customWidth="1"/>
    <col min="3" max="3" width="20.85546875" style="9" bestFit="1" customWidth="1"/>
  </cols>
  <sheetData>
    <row r="1" spans="1:4" ht="15" x14ac:dyDescent="0.2">
      <c r="A1" s="57" t="s">
        <v>2</v>
      </c>
      <c r="B1" s="3"/>
      <c r="C1" s="3"/>
    </row>
    <row r="2" spans="1:4" ht="18.75" thickBot="1" x14ac:dyDescent="0.3">
      <c r="A2" s="19" t="s">
        <v>209</v>
      </c>
      <c r="B2" s="28"/>
      <c r="C2" s="28"/>
    </row>
    <row r="3" spans="1:4" ht="26.25" customHeight="1" thickBot="1" x14ac:dyDescent="0.25">
      <c r="A3" s="37" t="s">
        <v>317</v>
      </c>
      <c r="B3" s="3"/>
      <c r="C3" s="3"/>
    </row>
    <row r="4" spans="1:4" ht="16.5" thickBot="1" x14ac:dyDescent="0.3">
      <c r="A4" s="38"/>
      <c r="B4" s="28"/>
      <c r="C4" s="28"/>
    </row>
    <row r="5" spans="1:4" ht="17.25" thickTop="1" thickBot="1" x14ac:dyDescent="0.3">
      <c r="A5" s="68" t="s">
        <v>3</v>
      </c>
      <c r="B5" s="8" t="s">
        <v>4</v>
      </c>
      <c r="C5" s="65" t="s">
        <v>5</v>
      </c>
    </row>
    <row r="6" spans="1:4" ht="17.25" thickTop="1" thickBot="1" x14ac:dyDescent="0.25">
      <c r="A6" s="64"/>
      <c r="B6" s="10" t="s">
        <v>6</v>
      </c>
      <c r="C6" s="66"/>
    </row>
    <row r="7" spans="1:4" ht="16.5" thickTop="1" thickBot="1" x14ac:dyDescent="0.3">
      <c r="A7" s="43" t="s">
        <v>19</v>
      </c>
      <c r="B7" s="45"/>
      <c r="C7" s="42"/>
    </row>
    <row r="8" spans="1:4" ht="15" x14ac:dyDescent="0.25">
      <c r="A8" s="41" t="s">
        <v>11</v>
      </c>
      <c r="B8" s="45">
        <v>18.50892</v>
      </c>
      <c r="C8" s="42">
        <v>8.44</v>
      </c>
    </row>
    <row r="9" spans="1:4" ht="15" x14ac:dyDescent="0.25">
      <c r="A9" s="41" t="s">
        <v>12</v>
      </c>
      <c r="B9" s="45">
        <v>17.565930000000002</v>
      </c>
      <c r="C9" s="42">
        <v>8.01</v>
      </c>
    </row>
    <row r="10" spans="1:4" ht="15" x14ac:dyDescent="0.25">
      <c r="A10" s="41" t="s">
        <v>95</v>
      </c>
      <c r="B10" s="45">
        <v>15.109770000000003</v>
      </c>
      <c r="C10" s="42">
        <v>6.8900000000000006</v>
      </c>
    </row>
    <row r="11" spans="1:4" ht="15" x14ac:dyDescent="0.25">
      <c r="A11" s="41" t="s">
        <v>30</v>
      </c>
      <c r="B11" s="45">
        <v>14.144850000000002</v>
      </c>
      <c r="C11" s="42">
        <v>6.45</v>
      </c>
    </row>
    <row r="12" spans="1:4" ht="15" x14ac:dyDescent="0.25">
      <c r="A12" s="41" t="s">
        <v>114</v>
      </c>
      <c r="B12" s="45">
        <v>12.65361</v>
      </c>
      <c r="C12" s="42">
        <v>5.7700000000000005</v>
      </c>
      <c r="D12" s="15"/>
    </row>
    <row r="13" spans="1:4" ht="15" x14ac:dyDescent="0.25">
      <c r="A13" s="41" t="s">
        <v>210</v>
      </c>
      <c r="B13" s="45">
        <v>12.236940000000002</v>
      </c>
      <c r="C13" s="42">
        <v>5.58</v>
      </c>
    </row>
    <row r="14" spans="1:4" ht="15" x14ac:dyDescent="0.25">
      <c r="A14" s="41" t="s">
        <v>211</v>
      </c>
      <c r="B14" s="45">
        <v>8.8597200000000011</v>
      </c>
      <c r="C14" s="42">
        <v>4.04</v>
      </c>
    </row>
    <row r="15" spans="1:4" ht="15" x14ac:dyDescent="0.25">
      <c r="A15" s="41" t="s">
        <v>103</v>
      </c>
      <c r="B15" s="45">
        <v>8.2456800000000001</v>
      </c>
      <c r="C15" s="42">
        <v>3.7600000000000002</v>
      </c>
    </row>
    <row r="16" spans="1:4" ht="15" x14ac:dyDescent="0.25">
      <c r="A16" s="41" t="s">
        <v>332</v>
      </c>
      <c r="B16" s="45">
        <v>7.7412900000000002</v>
      </c>
      <c r="C16" s="42">
        <v>3.53</v>
      </c>
    </row>
    <row r="17" spans="1:3" ht="15.75" thickBot="1" x14ac:dyDescent="0.3">
      <c r="A17" s="41" t="s">
        <v>20</v>
      </c>
      <c r="B17" s="45">
        <v>7.2588299999999997</v>
      </c>
      <c r="C17" s="42">
        <v>3.3099999999999996</v>
      </c>
    </row>
    <row r="18" spans="1:3" ht="15.75" thickBot="1" x14ac:dyDescent="0.3">
      <c r="A18" s="43" t="s">
        <v>15</v>
      </c>
      <c r="B18" s="51">
        <f>SUM(B8:B17)</f>
        <v>122.32554000000002</v>
      </c>
      <c r="C18" s="44">
        <f>SUM(C8:C17)</f>
        <v>55.78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16</v>
      </c>
      <c r="B20" s="51">
        <v>9.2763899999999992</v>
      </c>
      <c r="C20" s="44">
        <v>4.2299999999999995</v>
      </c>
    </row>
    <row r="21" spans="1:3" ht="15.75" thickBot="1" x14ac:dyDescent="0.3">
      <c r="A21" s="41"/>
      <c r="B21" s="45"/>
      <c r="C21" s="42"/>
    </row>
    <row r="22" spans="1:3" ht="15.75" thickBot="1" x14ac:dyDescent="0.3">
      <c r="A22" s="43" t="s">
        <v>17</v>
      </c>
      <c r="B22" s="51">
        <v>87.698070000000001</v>
      </c>
      <c r="C22" s="44">
        <v>39.99</v>
      </c>
    </row>
    <row r="23" spans="1:3" ht="15.75" thickBot="1" x14ac:dyDescent="0.3">
      <c r="A23" s="41"/>
      <c r="B23" s="45"/>
      <c r="C23" s="42"/>
    </row>
    <row r="24" spans="1:3" ht="15.75" thickBot="1" x14ac:dyDescent="0.3">
      <c r="A24" s="48" t="s">
        <v>18</v>
      </c>
      <c r="B24" s="56">
        <f>SUM(B18,B20,B22)</f>
        <v>219.3</v>
      </c>
      <c r="C24" s="50">
        <f>SUM(C18,C20,C22)</f>
        <v>100</v>
      </c>
    </row>
    <row r="25" spans="1:3" ht="13.5" thickTop="1" x14ac:dyDescent="0.2"/>
  </sheetData>
  <mergeCells count="2">
    <mergeCell ref="A5:A6"/>
    <mergeCell ref="C5:C6"/>
  </mergeCells>
  <hyperlinks>
    <hyperlink ref="A1" location="Index!A1" display="Back to Links" xr:uid="{75FA8161-78D3-4AF3-94C4-1B004741BEEB}"/>
  </hyperlinks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F47A-BE78-417E-B829-266EB7B724C5}">
  <dimension ref="A1:C25"/>
  <sheetViews>
    <sheetView workbookViewId="0"/>
  </sheetViews>
  <sheetFormatPr defaultRowHeight="12.75" x14ac:dyDescent="0.2"/>
  <cols>
    <col min="1" max="1" width="74.28515625" bestFit="1" customWidth="1"/>
    <col min="2" max="2" width="21.7109375" style="9" bestFit="1" customWidth="1"/>
    <col min="3" max="3" width="20.85546875" style="9" bestFit="1" customWidth="1"/>
  </cols>
  <sheetData>
    <row r="1" spans="1:3" ht="15" x14ac:dyDescent="0.2">
      <c r="A1" s="57" t="s">
        <v>2</v>
      </c>
      <c r="B1" s="3"/>
      <c r="C1" s="3"/>
    </row>
    <row r="2" spans="1:3" ht="18.75" thickBot="1" x14ac:dyDescent="0.3">
      <c r="A2" s="19" t="s">
        <v>212</v>
      </c>
      <c r="B2" s="28"/>
      <c r="C2" s="28"/>
    </row>
    <row r="3" spans="1:3" ht="26.25" customHeight="1" thickBot="1" x14ac:dyDescent="0.25">
      <c r="A3" s="37" t="s">
        <v>333</v>
      </c>
      <c r="B3" s="3"/>
      <c r="C3" s="3"/>
    </row>
    <row r="4" spans="1:3" ht="16.5" thickBot="1" x14ac:dyDescent="0.3">
      <c r="A4" s="38"/>
      <c r="B4" s="28"/>
      <c r="C4" s="28"/>
    </row>
    <row r="5" spans="1:3" ht="17.25" thickTop="1" thickBot="1" x14ac:dyDescent="0.3">
      <c r="A5" s="68" t="s">
        <v>3</v>
      </c>
      <c r="B5" s="8" t="s">
        <v>4</v>
      </c>
      <c r="C5" s="65" t="s">
        <v>5</v>
      </c>
    </row>
    <row r="6" spans="1:3" ht="17.25" thickTop="1" thickBot="1" x14ac:dyDescent="0.25">
      <c r="A6" s="64"/>
      <c r="B6" s="10" t="s">
        <v>6</v>
      </c>
      <c r="C6" s="66"/>
    </row>
    <row r="7" spans="1:3" ht="16.5" thickTop="1" thickBot="1" x14ac:dyDescent="0.3">
      <c r="A7" s="43" t="s">
        <v>19</v>
      </c>
      <c r="B7" s="45"/>
      <c r="C7" s="42"/>
    </row>
    <row r="8" spans="1:3" ht="15" x14ac:dyDescent="0.25">
      <c r="A8" s="41" t="s">
        <v>240</v>
      </c>
      <c r="B8" s="45">
        <v>39.78736</v>
      </c>
      <c r="C8" s="42">
        <v>5.56</v>
      </c>
    </row>
    <row r="9" spans="1:3" ht="15" x14ac:dyDescent="0.25">
      <c r="A9" s="41" t="s">
        <v>132</v>
      </c>
      <c r="B9" s="45">
        <v>38.71396</v>
      </c>
      <c r="C9" s="42">
        <v>5.41</v>
      </c>
    </row>
    <row r="10" spans="1:3" ht="15" x14ac:dyDescent="0.25">
      <c r="A10" s="41" t="s">
        <v>107</v>
      </c>
      <c r="B10" s="45">
        <v>38.069919999999996</v>
      </c>
      <c r="C10" s="42">
        <v>5.3199999999999994</v>
      </c>
    </row>
    <row r="11" spans="1:3" ht="15" x14ac:dyDescent="0.25">
      <c r="A11" s="41" t="s">
        <v>109</v>
      </c>
      <c r="B11" s="45">
        <v>37.282760000000003</v>
      </c>
      <c r="C11" s="42">
        <v>5.21</v>
      </c>
    </row>
    <row r="12" spans="1:3" ht="15" x14ac:dyDescent="0.25">
      <c r="A12" s="41" t="s">
        <v>108</v>
      </c>
      <c r="B12" s="45">
        <v>35.851559999999999</v>
      </c>
      <c r="C12" s="42">
        <v>5.01</v>
      </c>
    </row>
    <row r="13" spans="1:3" ht="15" x14ac:dyDescent="0.25">
      <c r="A13" s="41" t="s">
        <v>214</v>
      </c>
      <c r="B13" s="45">
        <v>33.776319999999998</v>
      </c>
      <c r="C13" s="42">
        <v>4.72</v>
      </c>
    </row>
    <row r="14" spans="1:3" ht="15" x14ac:dyDescent="0.25">
      <c r="A14" s="41" t="s">
        <v>213</v>
      </c>
      <c r="B14" s="45">
        <v>32.488239999999998</v>
      </c>
      <c r="C14" s="42">
        <v>4.54</v>
      </c>
    </row>
    <row r="15" spans="1:3" ht="15" x14ac:dyDescent="0.25">
      <c r="A15" s="41" t="s">
        <v>115</v>
      </c>
      <c r="B15" s="45">
        <v>31.772640000000006</v>
      </c>
      <c r="C15" s="42">
        <v>4.4400000000000004</v>
      </c>
    </row>
    <row r="16" spans="1:3" ht="15" x14ac:dyDescent="0.25">
      <c r="A16" s="41" t="s">
        <v>158</v>
      </c>
      <c r="B16" s="45">
        <v>30.985480000000003</v>
      </c>
      <c r="C16" s="42">
        <v>4.33</v>
      </c>
    </row>
    <row r="17" spans="1:3" ht="15.75" thickBot="1" x14ac:dyDescent="0.3">
      <c r="A17" s="41" t="s">
        <v>24</v>
      </c>
      <c r="B17" s="45">
        <v>26.548760000000001</v>
      </c>
      <c r="C17" s="42">
        <v>3.71</v>
      </c>
    </row>
    <row r="18" spans="1:3" ht="15.75" thickBot="1" x14ac:dyDescent="0.3">
      <c r="A18" s="43" t="s">
        <v>15</v>
      </c>
      <c r="B18" s="51">
        <f>SUM(B8:B17)</f>
        <v>345.27699999999999</v>
      </c>
      <c r="C18" s="44">
        <f>SUM(C8:C17)</f>
        <v>48.249999999999993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16</v>
      </c>
      <c r="B20" s="51">
        <v>17.746880000000001</v>
      </c>
      <c r="C20" s="44">
        <v>2.48</v>
      </c>
    </row>
    <row r="21" spans="1:3" ht="15.75" thickBot="1" x14ac:dyDescent="0.3">
      <c r="A21" s="41"/>
      <c r="B21" s="45"/>
      <c r="C21" s="42"/>
    </row>
    <row r="22" spans="1:3" ht="15.75" thickBot="1" x14ac:dyDescent="0.3">
      <c r="A22" s="43" t="s">
        <v>17</v>
      </c>
      <c r="B22" s="51">
        <v>352.57612000000006</v>
      </c>
      <c r="C22" s="44">
        <v>49.27000000000001</v>
      </c>
    </row>
    <row r="23" spans="1:3" ht="15.75" thickBot="1" x14ac:dyDescent="0.3">
      <c r="A23" s="41"/>
      <c r="B23" s="45"/>
      <c r="C23" s="42"/>
    </row>
    <row r="24" spans="1:3" ht="15.75" thickBot="1" x14ac:dyDescent="0.3">
      <c r="A24" s="48" t="s">
        <v>18</v>
      </c>
      <c r="B24" s="56">
        <f>SUM(B18,B20,B22)</f>
        <v>715.6</v>
      </c>
      <c r="C24" s="50">
        <f>SUM(C18,C20,C22)</f>
        <v>100</v>
      </c>
    </row>
    <row r="25" spans="1:3" ht="13.5" thickTop="1" x14ac:dyDescent="0.2"/>
  </sheetData>
  <mergeCells count="2">
    <mergeCell ref="A5:A6"/>
    <mergeCell ref="C5:C6"/>
  </mergeCells>
  <hyperlinks>
    <hyperlink ref="A1" location="Index!A1" display="Back to Links" xr:uid="{B61D89B9-402C-428E-8753-9A70EA297652}"/>
  </hyperlinks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F4FB-7EF2-4EA4-A9ED-FD4D12691C50}">
  <dimension ref="A1:C25"/>
  <sheetViews>
    <sheetView workbookViewId="0"/>
  </sheetViews>
  <sheetFormatPr defaultRowHeight="12.75" x14ac:dyDescent="0.2"/>
  <cols>
    <col min="1" max="1" width="60" customWidth="1"/>
    <col min="2" max="2" width="21.7109375" style="9" bestFit="1" customWidth="1"/>
    <col min="3" max="3" width="20.85546875" style="9" bestFit="1" customWidth="1"/>
  </cols>
  <sheetData>
    <row r="1" spans="1:3" ht="15" x14ac:dyDescent="0.2">
      <c r="A1" s="57" t="s">
        <v>2</v>
      </c>
      <c r="B1" s="3"/>
      <c r="C1" s="3"/>
    </row>
    <row r="2" spans="1:3" ht="18.75" thickBot="1" x14ac:dyDescent="0.3">
      <c r="A2" s="19" t="s">
        <v>215</v>
      </c>
      <c r="B2" s="28"/>
      <c r="C2" s="28"/>
    </row>
    <row r="3" spans="1:3" ht="26.25" customHeight="1" thickBot="1" x14ac:dyDescent="0.25">
      <c r="A3" s="37" t="s">
        <v>335</v>
      </c>
      <c r="B3" s="3"/>
      <c r="C3" s="3"/>
    </row>
    <row r="4" spans="1:3" ht="16.5" thickBot="1" x14ac:dyDescent="0.3">
      <c r="A4" s="38"/>
      <c r="B4" s="28"/>
      <c r="C4" s="28"/>
    </row>
    <row r="5" spans="1:3" ht="17.25" thickTop="1" thickBot="1" x14ac:dyDescent="0.3">
      <c r="A5" s="68" t="s">
        <v>3</v>
      </c>
      <c r="B5" s="8" t="s">
        <v>4</v>
      </c>
      <c r="C5" s="65" t="s">
        <v>5</v>
      </c>
    </row>
    <row r="6" spans="1:3" ht="17.25" thickTop="1" thickBot="1" x14ac:dyDescent="0.25">
      <c r="A6" s="64"/>
      <c r="B6" s="10" t="s">
        <v>6</v>
      </c>
      <c r="C6" s="66"/>
    </row>
    <row r="7" spans="1:3" ht="16.5" thickTop="1" thickBot="1" x14ac:dyDescent="0.3">
      <c r="A7" s="43" t="s">
        <v>19</v>
      </c>
      <c r="B7" s="45"/>
      <c r="C7" s="42"/>
    </row>
    <row r="8" spans="1:3" ht="15" x14ac:dyDescent="0.25">
      <c r="A8" s="41" t="s">
        <v>35</v>
      </c>
      <c r="B8" s="45">
        <v>6.7734400000000008</v>
      </c>
      <c r="C8" s="42">
        <v>4.88</v>
      </c>
    </row>
    <row r="9" spans="1:3" ht="15" x14ac:dyDescent="0.25">
      <c r="A9" s="41" t="s">
        <v>218</v>
      </c>
      <c r="B9" s="45">
        <v>5.8573599999999999</v>
      </c>
      <c r="C9" s="42">
        <v>4.22</v>
      </c>
    </row>
    <row r="10" spans="1:3" ht="15" x14ac:dyDescent="0.25">
      <c r="A10" s="41" t="s">
        <v>257</v>
      </c>
      <c r="B10" s="45">
        <v>4.3166799999999999</v>
      </c>
      <c r="C10" s="42">
        <v>3.11</v>
      </c>
    </row>
    <row r="11" spans="1:3" ht="15" x14ac:dyDescent="0.25">
      <c r="A11" s="41" t="s">
        <v>249</v>
      </c>
      <c r="B11" s="45">
        <v>4.2611600000000012</v>
      </c>
      <c r="C11" s="42">
        <v>3.0700000000000003</v>
      </c>
    </row>
    <row r="12" spans="1:3" ht="15" x14ac:dyDescent="0.25">
      <c r="A12" s="41" t="s">
        <v>31</v>
      </c>
      <c r="B12" s="45">
        <v>4.2056400000000007</v>
      </c>
      <c r="C12" s="42">
        <v>3.0300000000000002</v>
      </c>
    </row>
    <row r="13" spans="1:3" ht="15" x14ac:dyDescent="0.25">
      <c r="A13" s="41" t="s">
        <v>242</v>
      </c>
      <c r="B13" s="45">
        <v>3.9558000000000004</v>
      </c>
      <c r="C13" s="42">
        <v>2.85</v>
      </c>
    </row>
    <row r="14" spans="1:3" ht="15" x14ac:dyDescent="0.25">
      <c r="A14" s="41" t="s">
        <v>136</v>
      </c>
      <c r="B14" s="45">
        <v>3.77536</v>
      </c>
      <c r="C14" s="42">
        <v>2.7199999999999998</v>
      </c>
    </row>
    <row r="15" spans="1:3" ht="15" x14ac:dyDescent="0.25">
      <c r="A15" s="41" t="s">
        <v>334</v>
      </c>
      <c r="B15" s="45">
        <v>3.5394000000000001</v>
      </c>
      <c r="C15" s="42">
        <v>2.5499999999999998</v>
      </c>
    </row>
    <row r="16" spans="1:3" ht="15" x14ac:dyDescent="0.25">
      <c r="A16" s="41" t="s">
        <v>115</v>
      </c>
      <c r="B16" s="45">
        <v>3.4561200000000003</v>
      </c>
      <c r="C16" s="42">
        <v>2.4899999999999998</v>
      </c>
    </row>
    <row r="17" spans="1:3" ht="15.75" thickBot="1" x14ac:dyDescent="0.3">
      <c r="A17" s="41" t="s">
        <v>95</v>
      </c>
      <c r="B17" s="45">
        <v>3.2062800000000005</v>
      </c>
      <c r="C17" s="42">
        <v>2.31</v>
      </c>
    </row>
    <row r="18" spans="1:3" ht="15.75" thickBot="1" x14ac:dyDescent="0.3">
      <c r="A18" s="43" t="s">
        <v>15</v>
      </c>
      <c r="B18" s="51">
        <f>SUM(B8:B17)</f>
        <v>43.347239999999999</v>
      </c>
      <c r="C18" s="44">
        <f>SUM(C8:C17)</f>
        <v>31.229999999999997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16</v>
      </c>
      <c r="B20" s="51">
        <v>5.024560000000001</v>
      </c>
      <c r="C20" s="44">
        <v>3.62</v>
      </c>
    </row>
    <row r="21" spans="1:3" ht="15.75" thickBot="1" x14ac:dyDescent="0.3">
      <c r="A21" s="41"/>
      <c r="B21" s="45"/>
      <c r="C21" s="42"/>
    </row>
    <row r="22" spans="1:3" ht="15.75" thickBot="1" x14ac:dyDescent="0.3">
      <c r="A22" s="43" t="s">
        <v>17</v>
      </c>
      <c r="B22" s="51">
        <v>90.428200000000018</v>
      </c>
      <c r="C22" s="44">
        <v>65.150000000000006</v>
      </c>
    </row>
    <row r="23" spans="1:3" ht="15.75" thickBot="1" x14ac:dyDescent="0.3">
      <c r="A23" s="41"/>
      <c r="B23" s="45"/>
      <c r="C23" s="42"/>
    </row>
    <row r="24" spans="1:3" ht="15.75" thickBot="1" x14ac:dyDescent="0.3">
      <c r="A24" s="48" t="s">
        <v>18</v>
      </c>
      <c r="B24" s="56">
        <f>SUM(B18,B20,B22)</f>
        <v>138.80000000000001</v>
      </c>
      <c r="C24" s="50">
        <f>SUM(C18,C20,C22)</f>
        <v>100</v>
      </c>
    </row>
    <row r="25" spans="1:3" ht="13.5" thickTop="1" x14ac:dyDescent="0.2"/>
  </sheetData>
  <mergeCells count="2">
    <mergeCell ref="A5:A6"/>
    <mergeCell ref="C5:C6"/>
  </mergeCells>
  <hyperlinks>
    <hyperlink ref="A1" location="Index!A1" display="Back to Links" xr:uid="{A27377B8-652C-4BDA-A342-5E53192ABA79}"/>
  </hyperlinks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2E07-04F8-4840-91A7-DED538499D62}">
  <dimension ref="A1:C25"/>
  <sheetViews>
    <sheetView workbookViewId="0"/>
  </sheetViews>
  <sheetFormatPr defaultRowHeight="12.75" x14ac:dyDescent="0.2"/>
  <cols>
    <col min="1" max="1" width="60" customWidth="1"/>
    <col min="2" max="2" width="21.7109375" style="9" bestFit="1" customWidth="1"/>
    <col min="3" max="3" width="20.85546875" style="9" bestFit="1" customWidth="1"/>
  </cols>
  <sheetData>
    <row r="1" spans="1:3" ht="15" x14ac:dyDescent="0.2">
      <c r="A1" s="57" t="s">
        <v>2</v>
      </c>
      <c r="B1" s="3"/>
      <c r="C1" s="3"/>
    </row>
    <row r="2" spans="1:3" ht="18.75" thickBot="1" x14ac:dyDescent="0.3">
      <c r="A2" s="19" t="s">
        <v>217</v>
      </c>
      <c r="B2" s="28"/>
      <c r="C2" s="28"/>
    </row>
    <row r="3" spans="1:3" ht="26.25" customHeight="1" thickBot="1" x14ac:dyDescent="0.25">
      <c r="A3" s="37" t="s">
        <v>336</v>
      </c>
      <c r="B3" s="3"/>
      <c r="C3" s="3"/>
    </row>
    <row r="4" spans="1:3" ht="16.5" thickBot="1" x14ac:dyDescent="0.3">
      <c r="A4" s="38"/>
      <c r="B4" s="28"/>
      <c r="C4" s="28"/>
    </row>
    <row r="5" spans="1:3" ht="17.25" thickTop="1" thickBot="1" x14ac:dyDescent="0.3">
      <c r="A5" s="68" t="s">
        <v>3</v>
      </c>
      <c r="B5" s="8" t="s">
        <v>4</v>
      </c>
      <c r="C5" s="65" t="s">
        <v>5</v>
      </c>
    </row>
    <row r="6" spans="1:3" ht="17.25" thickTop="1" thickBot="1" x14ac:dyDescent="0.25">
      <c r="A6" s="64"/>
      <c r="B6" s="10" t="s">
        <v>6</v>
      </c>
      <c r="C6" s="66"/>
    </row>
    <row r="7" spans="1:3" ht="16.5" thickTop="1" thickBot="1" x14ac:dyDescent="0.3">
      <c r="A7" s="43" t="s">
        <v>19</v>
      </c>
      <c r="B7" s="45"/>
      <c r="C7" s="42"/>
    </row>
    <row r="8" spans="1:3" ht="15" x14ac:dyDescent="0.25">
      <c r="A8" s="41" t="s">
        <v>240</v>
      </c>
      <c r="B8" s="45">
        <v>3.8024000000000004</v>
      </c>
      <c r="C8" s="42">
        <v>5.6000000000000005</v>
      </c>
    </row>
    <row r="9" spans="1:3" ht="15" x14ac:dyDescent="0.25">
      <c r="A9" s="41" t="s">
        <v>132</v>
      </c>
      <c r="B9" s="45">
        <v>3.6937599999999997</v>
      </c>
      <c r="C9" s="42">
        <v>5.4399999999999995</v>
      </c>
    </row>
    <row r="10" spans="1:3" ht="15" x14ac:dyDescent="0.25">
      <c r="A10" s="41" t="s">
        <v>107</v>
      </c>
      <c r="B10" s="45">
        <v>3.6326499999999999</v>
      </c>
      <c r="C10" s="42">
        <v>5.35</v>
      </c>
    </row>
    <row r="11" spans="1:3" ht="15" x14ac:dyDescent="0.25">
      <c r="A11" s="41" t="s">
        <v>109</v>
      </c>
      <c r="B11" s="45">
        <v>3.5579600000000005</v>
      </c>
      <c r="C11" s="42">
        <v>5.24</v>
      </c>
    </row>
    <row r="12" spans="1:3" ht="15" x14ac:dyDescent="0.25">
      <c r="A12" s="41" t="s">
        <v>108</v>
      </c>
      <c r="B12" s="45">
        <v>3.4289500000000008</v>
      </c>
      <c r="C12" s="42">
        <v>5.0500000000000007</v>
      </c>
    </row>
    <row r="13" spans="1:3" ht="15" x14ac:dyDescent="0.25">
      <c r="A13" s="41" t="s">
        <v>214</v>
      </c>
      <c r="B13" s="45">
        <v>3.2252500000000004</v>
      </c>
      <c r="C13" s="42">
        <v>4.75</v>
      </c>
    </row>
    <row r="14" spans="1:3" ht="15" x14ac:dyDescent="0.25">
      <c r="A14" s="41" t="s">
        <v>213</v>
      </c>
      <c r="B14" s="45">
        <v>3.10303</v>
      </c>
      <c r="C14" s="42">
        <v>4.5699999999999994</v>
      </c>
    </row>
    <row r="15" spans="1:3" ht="15" x14ac:dyDescent="0.25">
      <c r="A15" s="41" t="s">
        <v>115</v>
      </c>
      <c r="B15" s="45">
        <v>3.0351300000000005</v>
      </c>
      <c r="C15" s="42">
        <v>4.47</v>
      </c>
    </row>
    <row r="16" spans="1:3" ht="15" x14ac:dyDescent="0.25">
      <c r="A16" s="41" t="s">
        <v>158</v>
      </c>
      <c r="B16" s="45">
        <v>2.9604400000000002</v>
      </c>
      <c r="C16" s="42">
        <v>4.3600000000000003</v>
      </c>
    </row>
    <row r="17" spans="1:3" ht="15.75" thickBot="1" x14ac:dyDescent="0.3">
      <c r="A17" s="41" t="s">
        <v>24</v>
      </c>
      <c r="B17" s="45">
        <v>2.5326700000000004</v>
      </c>
      <c r="C17" s="42">
        <v>3.73</v>
      </c>
    </row>
    <row r="18" spans="1:3" ht="15.75" thickBot="1" x14ac:dyDescent="0.3">
      <c r="A18" s="43" t="s">
        <v>15</v>
      </c>
      <c r="B18" s="51">
        <f>SUM(B8:B17)</f>
        <v>32.972239999999999</v>
      </c>
      <c r="C18" s="44">
        <f>SUM(C8:C17)</f>
        <v>48.559999999999995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16</v>
      </c>
      <c r="B20" s="51">
        <v>1.26294</v>
      </c>
      <c r="C20" s="44">
        <v>1.8599999999999999</v>
      </c>
    </row>
    <row r="21" spans="1:3" ht="15.75" thickBot="1" x14ac:dyDescent="0.3">
      <c r="A21" s="41"/>
      <c r="B21" s="45"/>
      <c r="C21" s="42"/>
    </row>
    <row r="22" spans="1:3" ht="15.75" thickBot="1" x14ac:dyDescent="0.3">
      <c r="A22" s="43" t="s">
        <v>17</v>
      </c>
      <c r="B22" s="51">
        <v>33.664820000000006</v>
      </c>
      <c r="C22" s="44">
        <v>49.580000000000005</v>
      </c>
    </row>
    <row r="23" spans="1:3" ht="15.75" thickBot="1" x14ac:dyDescent="0.3">
      <c r="A23" s="41"/>
      <c r="B23" s="45"/>
      <c r="C23" s="42"/>
    </row>
    <row r="24" spans="1:3" ht="15.75" thickBot="1" x14ac:dyDescent="0.3">
      <c r="A24" s="48" t="s">
        <v>18</v>
      </c>
      <c r="B24" s="56">
        <f>SUM(B18,B20,B22)</f>
        <v>67.900000000000006</v>
      </c>
      <c r="C24" s="50">
        <f>SUM(C18,C20,C22)</f>
        <v>100</v>
      </c>
    </row>
    <row r="25" spans="1:3" ht="13.5" thickTop="1" x14ac:dyDescent="0.2"/>
  </sheetData>
  <mergeCells count="2">
    <mergeCell ref="A5:A6"/>
    <mergeCell ref="C5:C6"/>
  </mergeCells>
  <hyperlinks>
    <hyperlink ref="A1" location="Index!A1" display="Back to Links" xr:uid="{44F38AFC-7272-4AD5-BEFE-E9C13A1B9333}"/>
  </hyperlinks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D062-DAAA-4A08-BB78-39C135E70A4D}">
  <dimension ref="A1:C25"/>
  <sheetViews>
    <sheetView workbookViewId="0"/>
  </sheetViews>
  <sheetFormatPr defaultRowHeight="12.75" x14ac:dyDescent="0.2"/>
  <cols>
    <col min="1" max="1" width="60" customWidth="1"/>
    <col min="2" max="2" width="21.7109375" style="9" bestFit="1" customWidth="1"/>
    <col min="3" max="3" width="20.85546875" style="9" bestFit="1" customWidth="1"/>
  </cols>
  <sheetData>
    <row r="1" spans="1:3" ht="15" x14ac:dyDescent="0.2">
      <c r="A1" s="57" t="s">
        <v>2</v>
      </c>
      <c r="B1" s="3"/>
      <c r="C1" s="3"/>
    </row>
    <row r="2" spans="1:3" ht="18.75" thickBot="1" x14ac:dyDescent="0.3">
      <c r="A2" s="19" t="s">
        <v>258</v>
      </c>
      <c r="B2" s="28"/>
      <c r="C2" s="35"/>
    </row>
    <row r="3" spans="1:3" ht="26.25" customHeight="1" thickBot="1" x14ac:dyDescent="0.25">
      <c r="A3" s="37" t="s">
        <v>313</v>
      </c>
      <c r="B3" s="3"/>
      <c r="C3" s="3"/>
    </row>
    <row r="4" spans="1:3" ht="16.5" thickBot="1" x14ac:dyDescent="0.3">
      <c r="A4" s="38"/>
      <c r="B4" s="28"/>
      <c r="C4" s="28"/>
    </row>
    <row r="5" spans="1:3" ht="17.25" thickTop="1" thickBot="1" x14ac:dyDescent="0.3">
      <c r="A5" s="68" t="s">
        <v>3</v>
      </c>
      <c r="B5" s="8" t="s">
        <v>4</v>
      </c>
      <c r="C5" s="65" t="s">
        <v>5</v>
      </c>
    </row>
    <row r="6" spans="1:3" ht="17.25" thickTop="1" thickBot="1" x14ac:dyDescent="0.25">
      <c r="A6" s="64"/>
      <c r="B6" s="10" t="s">
        <v>6</v>
      </c>
      <c r="C6" s="66"/>
    </row>
    <row r="7" spans="1:3" ht="16.5" thickTop="1" thickBot="1" x14ac:dyDescent="0.3">
      <c r="A7" s="43" t="s">
        <v>19</v>
      </c>
      <c r="B7" s="45"/>
      <c r="C7" s="42"/>
    </row>
    <row r="8" spans="1:3" ht="15" x14ac:dyDescent="0.25">
      <c r="A8" s="41" t="s">
        <v>35</v>
      </c>
      <c r="B8" s="45">
        <v>18.856839999999998</v>
      </c>
      <c r="C8" s="42">
        <v>3.94</v>
      </c>
    </row>
    <row r="9" spans="1:3" ht="15" x14ac:dyDescent="0.25">
      <c r="A9" s="41" t="s">
        <v>218</v>
      </c>
      <c r="B9" s="45">
        <v>16.990300000000001</v>
      </c>
      <c r="C9" s="42">
        <v>3.55</v>
      </c>
    </row>
    <row r="10" spans="1:3" ht="15" x14ac:dyDescent="0.25">
      <c r="A10" s="41" t="s">
        <v>147</v>
      </c>
      <c r="B10" s="45">
        <v>14.836600000000001</v>
      </c>
      <c r="C10" s="42">
        <v>3.1</v>
      </c>
    </row>
    <row r="11" spans="1:3" ht="15" x14ac:dyDescent="0.25">
      <c r="A11" s="41" t="s">
        <v>136</v>
      </c>
      <c r="B11" s="45">
        <v>13.92726</v>
      </c>
      <c r="C11" s="42">
        <v>2.91</v>
      </c>
    </row>
    <row r="12" spans="1:3" ht="15" x14ac:dyDescent="0.25">
      <c r="A12" s="41" t="s">
        <v>20</v>
      </c>
      <c r="B12" s="45">
        <v>12.87434</v>
      </c>
      <c r="C12" s="42">
        <v>2.69</v>
      </c>
    </row>
    <row r="13" spans="1:3" ht="15" x14ac:dyDescent="0.25">
      <c r="A13" s="41" t="s">
        <v>102</v>
      </c>
      <c r="B13" s="45">
        <v>12.491460000000002</v>
      </c>
      <c r="C13" s="42">
        <v>2.6100000000000003</v>
      </c>
    </row>
    <row r="14" spans="1:3" ht="15" x14ac:dyDescent="0.25">
      <c r="A14" s="41" t="s">
        <v>242</v>
      </c>
      <c r="B14" s="45">
        <v>12.2043</v>
      </c>
      <c r="C14" s="42">
        <v>2.5499999999999998</v>
      </c>
    </row>
    <row r="15" spans="1:3" ht="15" x14ac:dyDescent="0.25">
      <c r="A15" s="41" t="s">
        <v>257</v>
      </c>
      <c r="B15" s="45">
        <v>10.481339999999999</v>
      </c>
      <c r="C15" s="42">
        <v>2.19</v>
      </c>
    </row>
    <row r="16" spans="1:3" ht="15" x14ac:dyDescent="0.25">
      <c r="A16" s="41" t="s">
        <v>249</v>
      </c>
      <c r="B16" s="45">
        <v>10.433480000000001</v>
      </c>
      <c r="C16" s="42">
        <v>2.1800000000000002</v>
      </c>
    </row>
    <row r="17" spans="1:3" ht="15.75" thickBot="1" x14ac:dyDescent="0.3">
      <c r="A17" s="41" t="s">
        <v>337</v>
      </c>
      <c r="B17" s="45">
        <v>10.146320000000001</v>
      </c>
      <c r="C17" s="42">
        <v>2.12</v>
      </c>
    </row>
    <row r="18" spans="1:3" ht="15.75" thickBot="1" x14ac:dyDescent="0.3">
      <c r="A18" s="43" t="s">
        <v>15</v>
      </c>
      <c r="B18" s="51">
        <f>SUM(B8:B17)</f>
        <v>133.24224000000001</v>
      </c>
      <c r="C18" s="44">
        <f>SUM(C8:C17)</f>
        <v>27.840000000000003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16</v>
      </c>
      <c r="B20" s="51">
        <v>32.209780000000002</v>
      </c>
      <c r="C20" s="44">
        <v>6.7299999999999995</v>
      </c>
    </row>
    <row r="21" spans="1:3" ht="15.75" thickBot="1" x14ac:dyDescent="0.3">
      <c r="A21" s="41"/>
      <c r="B21" s="45"/>
      <c r="C21" s="42"/>
    </row>
    <row r="22" spans="1:3" ht="15.75" thickBot="1" x14ac:dyDescent="0.3">
      <c r="A22" s="43" t="s">
        <v>17</v>
      </c>
      <c r="B22" s="51">
        <v>313.14798000000008</v>
      </c>
      <c r="C22" s="44">
        <v>65.430000000000007</v>
      </c>
    </row>
    <row r="23" spans="1:3" ht="15.75" thickBot="1" x14ac:dyDescent="0.3">
      <c r="A23" s="41"/>
      <c r="B23" s="45"/>
      <c r="C23" s="42"/>
    </row>
    <row r="24" spans="1:3" ht="15.75" thickBot="1" x14ac:dyDescent="0.3">
      <c r="A24" s="48" t="s">
        <v>18</v>
      </c>
      <c r="B24" s="56">
        <f>SUM(B18,B20,B22)</f>
        <v>478.60000000000008</v>
      </c>
      <c r="C24" s="50">
        <f>SUM(C18,C20,C22)</f>
        <v>100</v>
      </c>
    </row>
    <row r="25" spans="1:3" ht="13.5" thickTop="1" x14ac:dyDescent="0.2"/>
  </sheetData>
  <mergeCells count="2">
    <mergeCell ref="A5:A6"/>
    <mergeCell ref="C5:C6"/>
  </mergeCells>
  <hyperlinks>
    <hyperlink ref="A1" location="Index!A1" display="Back to Links" xr:uid="{4C388AAE-345F-44E8-B18C-1AE1694D83BD}"/>
  </hyperlinks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FD3A-F87A-48C7-A567-4DA700CC8AD6}">
  <dimension ref="A1:C10"/>
  <sheetViews>
    <sheetView workbookViewId="0"/>
  </sheetViews>
  <sheetFormatPr defaultRowHeight="12.75" x14ac:dyDescent="0.2"/>
  <cols>
    <col min="1" max="1" width="60" customWidth="1"/>
    <col min="2" max="2" width="21.7109375" style="9" bestFit="1" customWidth="1"/>
    <col min="3" max="3" width="20.85546875" style="9" bestFit="1" customWidth="1"/>
  </cols>
  <sheetData>
    <row r="1" spans="1:3" ht="15" x14ac:dyDescent="0.2">
      <c r="A1" s="57" t="s">
        <v>2</v>
      </c>
      <c r="B1" s="3"/>
      <c r="C1" s="3"/>
    </row>
    <row r="2" spans="1:3" ht="18.75" thickBot="1" x14ac:dyDescent="0.3">
      <c r="A2" s="19" t="s">
        <v>259</v>
      </c>
      <c r="B2" s="28"/>
      <c r="C2" s="35"/>
    </row>
    <row r="3" spans="1:3" ht="30" thickBot="1" x14ac:dyDescent="0.25">
      <c r="A3" s="37" t="s">
        <v>338</v>
      </c>
      <c r="B3" s="3"/>
      <c r="C3" s="3"/>
    </row>
    <row r="4" spans="1:3" ht="16.5" thickBot="1" x14ac:dyDescent="0.3">
      <c r="A4" s="60"/>
      <c r="B4" s="28"/>
      <c r="C4" s="28"/>
    </row>
    <row r="5" spans="1:3" ht="17.25" thickTop="1" thickBot="1" x14ac:dyDescent="0.3">
      <c r="A5" s="68" t="s">
        <v>3</v>
      </c>
      <c r="B5" s="8" t="s">
        <v>4</v>
      </c>
      <c r="C5" s="65" t="s">
        <v>5</v>
      </c>
    </row>
    <row r="6" spans="1:3" ht="17.25" thickTop="1" thickBot="1" x14ac:dyDescent="0.25">
      <c r="A6" s="64"/>
      <c r="B6" s="10" t="s">
        <v>6</v>
      </c>
      <c r="C6" s="66"/>
    </row>
    <row r="7" spans="1:3" ht="16.5" thickTop="1" thickBot="1" x14ac:dyDescent="0.3">
      <c r="A7" s="43" t="s">
        <v>16</v>
      </c>
      <c r="B7" s="51">
        <v>1.1000000000000001</v>
      </c>
      <c r="C7" s="44">
        <v>100</v>
      </c>
    </row>
    <row r="8" spans="1:3" ht="15.75" thickBot="1" x14ac:dyDescent="0.3">
      <c r="A8" s="41"/>
      <c r="B8" s="45"/>
      <c r="C8" s="42"/>
    </row>
    <row r="9" spans="1:3" ht="15.75" thickBot="1" x14ac:dyDescent="0.3">
      <c r="A9" s="48" t="s">
        <v>18</v>
      </c>
      <c r="B9" s="56">
        <f>SUM(B7)</f>
        <v>1.1000000000000001</v>
      </c>
      <c r="C9" s="56">
        <f>SUM(C7)</f>
        <v>100</v>
      </c>
    </row>
    <row r="10" spans="1:3" ht="13.5" thickTop="1" x14ac:dyDescent="0.2"/>
  </sheetData>
  <mergeCells count="2">
    <mergeCell ref="A5:A6"/>
    <mergeCell ref="C5:C6"/>
  </mergeCells>
  <hyperlinks>
    <hyperlink ref="A1" location="Index!A1" display="Back to Links" xr:uid="{559FB831-040B-48DF-A94D-6547CC7A4704}"/>
  </hyperlinks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2473-1BC0-4083-B1F4-58C893F198E7}">
  <dimension ref="A1:C25"/>
  <sheetViews>
    <sheetView workbookViewId="0"/>
  </sheetViews>
  <sheetFormatPr defaultRowHeight="12.75" x14ac:dyDescent="0.2"/>
  <cols>
    <col min="1" max="1" width="60" customWidth="1"/>
    <col min="2" max="2" width="21.7109375" style="9" bestFit="1" customWidth="1"/>
    <col min="3" max="3" width="20.85546875" style="9" bestFit="1" customWidth="1"/>
  </cols>
  <sheetData>
    <row r="1" spans="1:3" ht="15" x14ac:dyDescent="0.2">
      <c r="A1" s="57" t="s">
        <v>2</v>
      </c>
      <c r="B1" s="3"/>
      <c r="C1" s="3"/>
    </row>
    <row r="2" spans="1:3" ht="18.75" thickBot="1" x14ac:dyDescent="0.3">
      <c r="A2" s="19" t="s">
        <v>339</v>
      </c>
      <c r="B2" s="28"/>
      <c r="C2" s="28"/>
    </row>
    <row r="3" spans="1:3" ht="26.25" customHeight="1" thickBot="1" x14ac:dyDescent="0.25">
      <c r="A3" s="37" t="s">
        <v>340</v>
      </c>
      <c r="B3" s="3"/>
      <c r="C3" s="3"/>
    </row>
    <row r="4" spans="1:3" ht="16.5" thickBot="1" x14ac:dyDescent="0.3">
      <c r="A4" s="38"/>
      <c r="B4" s="28"/>
      <c r="C4" s="28"/>
    </row>
    <row r="5" spans="1:3" ht="17.25" thickTop="1" thickBot="1" x14ac:dyDescent="0.3">
      <c r="A5" s="68" t="s">
        <v>3</v>
      </c>
      <c r="B5" s="8" t="s">
        <v>4</v>
      </c>
      <c r="C5" s="65" t="s">
        <v>5</v>
      </c>
    </row>
    <row r="6" spans="1:3" ht="17.25" thickTop="1" thickBot="1" x14ac:dyDescent="0.25">
      <c r="A6" s="64"/>
      <c r="B6" s="10" t="s">
        <v>6</v>
      </c>
      <c r="C6" s="66"/>
    </row>
    <row r="7" spans="1:3" ht="16.5" thickTop="1" thickBot="1" x14ac:dyDescent="0.3">
      <c r="A7" s="43" t="s">
        <v>19</v>
      </c>
      <c r="B7" s="45"/>
      <c r="C7" s="42"/>
    </row>
    <row r="8" spans="1:3" ht="15" x14ac:dyDescent="0.25">
      <c r="A8" s="41" t="s">
        <v>132</v>
      </c>
      <c r="B8" s="45">
        <v>2.6215199999999999</v>
      </c>
      <c r="C8" s="42">
        <v>6.6199999999999992</v>
      </c>
    </row>
    <row r="9" spans="1:3" ht="15" x14ac:dyDescent="0.25">
      <c r="A9" s="41" t="s">
        <v>25</v>
      </c>
      <c r="B9" s="45">
        <v>2.5898400000000006</v>
      </c>
      <c r="C9" s="42">
        <v>6.54</v>
      </c>
    </row>
    <row r="10" spans="1:3" ht="15" x14ac:dyDescent="0.25">
      <c r="A10" s="41" t="s">
        <v>133</v>
      </c>
      <c r="B10" s="45">
        <v>2.5225200000000005</v>
      </c>
      <c r="C10" s="42">
        <v>6.370000000000001</v>
      </c>
    </row>
    <row r="11" spans="1:3" ht="15" x14ac:dyDescent="0.25">
      <c r="A11" s="41" t="s">
        <v>330</v>
      </c>
      <c r="B11" s="45">
        <v>2.4987600000000003</v>
      </c>
      <c r="C11" s="42">
        <v>6.3100000000000005</v>
      </c>
    </row>
    <row r="12" spans="1:3" ht="15" x14ac:dyDescent="0.25">
      <c r="A12" s="41" t="s">
        <v>109</v>
      </c>
      <c r="B12" s="45">
        <v>2.3482799999999999</v>
      </c>
      <c r="C12" s="42">
        <v>5.93</v>
      </c>
    </row>
    <row r="13" spans="1:3" ht="15" x14ac:dyDescent="0.25">
      <c r="A13" s="41" t="s">
        <v>107</v>
      </c>
      <c r="B13" s="45">
        <v>1.7978400000000001</v>
      </c>
      <c r="C13" s="42">
        <v>4.54</v>
      </c>
    </row>
    <row r="14" spans="1:3" ht="15" x14ac:dyDescent="0.25">
      <c r="A14" s="41" t="s">
        <v>108</v>
      </c>
      <c r="B14" s="45">
        <v>1.6988400000000001</v>
      </c>
      <c r="C14" s="42">
        <v>4.29</v>
      </c>
    </row>
    <row r="15" spans="1:3" ht="15" x14ac:dyDescent="0.25">
      <c r="A15" s="41" t="s">
        <v>240</v>
      </c>
      <c r="B15" s="45">
        <v>1.5364800000000001</v>
      </c>
      <c r="C15" s="42">
        <v>3.88</v>
      </c>
    </row>
    <row r="16" spans="1:3" ht="15" x14ac:dyDescent="0.25">
      <c r="A16" s="41" t="s">
        <v>241</v>
      </c>
      <c r="B16" s="45">
        <v>1.4176800000000001</v>
      </c>
      <c r="C16" s="42">
        <v>3.58</v>
      </c>
    </row>
    <row r="17" spans="1:3" ht="15.75" thickBot="1" x14ac:dyDescent="0.3">
      <c r="A17" s="41" t="s">
        <v>134</v>
      </c>
      <c r="B17" s="45">
        <v>1.3147200000000001</v>
      </c>
      <c r="C17" s="42">
        <v>3.32</v>
      </c>
    </row>
    <row r="18" spans="1:3" ht="15.75" thickBot="1" x14ac:dyDescent="0.3">
      <c r="A18" s="43" t="s">
        <v>15</v>
      </c>
      <c r="B18" s="51">
        <f>SUM(B8:B17)</f>
        <v>20.346480000000007</v>
      </c>
      <c r="C18" s="44">
        <f>SUM(C8:C17)</f>
        <v>51.38</v>
      </c>
    </row>
    <row r="19" spans="1:3" ht="15.75" thickBot="1" x14ac:dyDescent="0.3">
      <c r="A19" s="41"/>
      <c r="B19" s="45"/>
      <c r="C19" s="42"/>
    </row>
    <row r="20" spans="1:3" ht="15.75" thickBot="1" x14ac:dyDescent="0.3">
      <c r="A20" s="43" t="s">
        <v>16</v>
      </c>
      <c r="B20" s="51">
        <v>1.1088</v>
      </c>
      <c r="C20" s="44">
        <v>2.8000000000000003</v>
      </c>
    </row>
    <row r="21" spans="1:3" ht="15.75" thickBot="1" x14ac:dyDescent="0.3">
      <c r="A21" s="41"/>
      <c r="B21" s="45"/>
      <c r="C21" s="42"/>
    </row>
    <row r="22" spans="1:3" ht="15.75" thickBot="1" x14ac:dyDescent="0.3">
      <c r="A22" s="43" t="s">
        <v>17</v>
      </c>
      <c r="B22" s="51">
        <v>18.14472</v>
      </c>
      <c r="C22" s="44">
        <v>45.82</v>
      </c>
    </row>
    <row r="23" spans="1:3" ht="15.75" thickBot="1" x14ac:dyDescent="0.3">
      <c r="A23" s="41"/>
      <c r="B23" s="45"/>
      <c r="C23" s="42"/>
    </row>
    <row r="24" spans="1:3" ht="15.75" thickBot="1" x14ac:dyDescent="0.3">
      <c r="A24" s="48" t="s">
        <v>18</v>
      </c>
      <c r="B24" s="56">
        <f>SUM(B18,B20,B22)</f>
        <v>39.600000000000009</v>
      </c>
      <c r="C24" s="50">
        <f>SUM(C18,C20,C22)</f>
        <v>100</v>
      </c>
    </row>
    <row r="25" spans="1:3" ht="13.5" thickTop="1" x14ac:dyDescent="0.2"/>
  </sheetData>
  <mergeCells count="2">
    <mergeCell ref="A5:A6"/>
    <mergeCell ref="C5:C6"/>
  </mergeCells>
  <hyperlinks>
    <hyperlink ref="A1" location="Index!A1" display="Back to Links" xr:uid="{5A62617C-AD0D-4B0F-9A76-2A855E6B9D27}"/>
  </hyperlinks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Index</vt:lpstr>
      <vt:lpstr>Ul Life Growth Super Fund</vt:lpstr>
      <vt:lpstr>Max Life High Growth Fund</vt:lpstr>
      <vt:lpstr>Ul Life Growth Fund</vt:lpstr>
      <vt:lpstr>Ul Life Balanced Fund</vt:lpstr>
      <vt:lpstr>Ul Life Conservative Fund</vt:lpstr>
      <vt:lpstr>Max Life Ul Life Secured Fund</vt:lpstr>
      <vt:lpstr>Dynamic Opportuinities Fund</vt:lpstr>
      <vt:lpstr>Max Life Ul Money Market Fund</vt:lpstr>
      <vt:lpstr>Max Life Ul Secure Plus</vt:lpstr>
      <vt:lpstr>Guaranteed Fund‐ Dynamic</vt:lpstr>
      <vt:lpstr>Max Life Guaranteed Fund‐Income</vt:lpstr>
      <vt:lpstr>Ul Life Diversified Equity Fund</vt:lpstr>
      <vt:lpstr>UL MONEY MARKET II FUND</vt:lpstr>
      <vt:lpstr>UI Life Sustainable Equity Fund</vt:lpstr>
      <vt:lpstr>UL PURE GROWTH FUND</vt:lpstr>
      <vt:lpstr>Ul Life Dynamic Bond Fund</vt:lpstr>
      <vt:lpstr>SMALLCAP QUALITY INDEX FUND</vt:lpstr>
      <vt:lpstr>MIDCAP MOMENTUM INDEX FUND</vt:lpstr>
      <vt:lpstr>NIFTY ALPHA 50 FUND</vt:lpstr>
      <vt:lpstr>Max Life NIFTY 500 MOMENTUM 50</vt:lpstr>
      <vt:lpstr>NIFTY MOMENTUM QUALITY 50 FUND</vt:lpstr>
      <vt:lpstr>SUSTAINABLE WEALTH 50 INDEX FUN</vt:lpstr>
      <vt:lpstr>SMART INNOVATION FUND</vt:lpstr>
      <vt:lpstr>DISCONTINUANCE FUND INDIVIDUAL</vt:lpstr>
      <vt:lpstr>UL PENSION GROWTH SUPER FUND</vt:lpstr>
      <vt:lpstr>Pension Life Growth Fund</vt:lpstr>
      <vt:lpstr>Lifemaker Pension Maximiser</vt:lpstr>
      <vt:lpstr>Pension Life Balanced Fund</vt:lpstr>
      <vt:lpstr>Lifemaker Pension Preserver</vt:lpstr>
      <vt:lpstr>Pension Life Conservative Fund</vt:lpstr>
      <vt:lpstr>Pension Life Secured Fund</vt:lpstr>
      <vt:lpstr>Discontinuance Fund Pension</vt:lpstr>
      <vt:lpstr>Gr Gratuity Growth Fund</vt:lpstr>
      <vt:lpstr>Gr Gratuity Balanced Fund</vt:lpstr>
      <vt:lpstr>Group Gratuity Bond Fund</vt:lpstr>
      <vt:lpstr>Gr Gratuity Conservative Fund</vt:lpstr>
      <vt:lpstr>Gr Superannuation Conservative</vt:lpstr>
      <vt:lpstr>NIFTY 500 MULTIFACTOR 50 INDEX </vt:lpstr>
      <vt:lpstr>NIFTY 500 MULTIFACTOR 50 PENSIO</vt:lpstr>
      <vt:lpstr>BSE 500 Value 50 Index Fund</vt:lpstr>
      <vt:lpstr>INDIA CONSUMPTION OPPORTUNITIES</vt:lpstr>
      <vt:lpstr>BSE 500 DIVIDEND LEADERS 50 IND</vt:lpstr>
      <vt:lpstr>HIGH GROWTH PENSION FUND</vt:lpstr>
      <vt:lpstr>BSE 500 DIVIDEND LE 50 IND PENS</vt:lpstr>
      <vt:lpstr>High Growth Fund II</vt:lpstr>
      <vt:lpstr>Diversified Equity Fund II</vt:lpstr>
      <vt:lpstr>BSE 500 VALUE 50 INDEX PENSION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</dc:creator>
  <cp:lastModifiedBy>Manoj Kadam</cp:lastModifiedBy>
  <dcterms:created xsi:type="dcterms:W3CDTF">2008-01-07T08:50:09Z</dcterms:created>
  <dcterms:modified xsi:type="dcterms:W3CDTF">2026-03-16T11:35:49Z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2026-03-16T11:32:53Z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f97d9052-1c10-4a93-a367-153a199e158c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