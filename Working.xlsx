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M:\Secured\ENS Funds\Insurance\Portfolio\Monthly\Working\2026\Feb 2026\Axis Max Life Insurance Co. Ltd\"/>
    </mc:Choice>
  </mc:AlternateContent>
  <xr:revisionPtr revIDLastSave="0" documentId="13_ncr:1_{34D91753-A977-4971-9FC6-041F09D21116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raw" sheetId="4" state="hidden" r:id="rId1"/>
    <sheet name="Working" sheetId="2" r:id="rId2"/>
    <sheet name="Sheet1" sheetId="3" r:id="rId3"/>
  </sheets>
  <definedNames>
    <definedName name="_xlnm._FilterDatabase" localSheetId="0" hidden="1">raw!$A$1:$E$950</definedName>
    <definedName name="_xlnm._FilterDatabase" localSheetId="2" hidden="1">Sheet1!$A$1:$D$40</definedName>
    <definedName name="_xlnm._FilterDatabase" localSheetId="1" hidden="1">Working!$A$1:$N$964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3" l="1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M961" i="2"/>
  <c r="K961" i="2"/>
  <c r="F960" i="2"/>
  <c r="F959" i="2"/>
  <c r="F958" i="2"/>
  <c r="F957" i="2"/>
  <c r="F956" i="2"/>
  <c r="F955" i="2"/>
  <c r="F954" i="2"/>
  <c r="F953" i="2"/>
  <c r="F952" i="2"/>
  <c r="F951" i="2"/>
  <c r="F950" i="2"/>
  <c r="M947" i="2"/>
  <c r="K947" i="2"/>
  <c r="A947" i="2"/>
  <c r="F946" i="2"/>
  <c r="M944" i="2"/>
  <c r="K944" i="2"/>
  <c r="A944" i="2"/>
  <c r="F943" i="2"/>
  <c r="F942" i="2"/>
  <c r="F941" i="2"/>
  <c r="F940" i="2"/>
  <c r="F939" i="2"/>
  <c r="F938" i="2"/>
  <c r="F937" i="2"/>
  <c r="F936" i="2"/>
  <c r="F935" i="2"/>
  <c r="F934" i="2"/>
  <c r="F933" i="2"/>
  <c r="M930" i="2"/>
  <c r="K930" i="2"/>
  <c r="A930" i="2"/>
  <c r="F929" i="2"/>
  <c r="F928" i="2"/>
  <c r="F927" i="2"/>
  <c r="F926" i="2"/>
  <c r="F925" i="2"/>
  <c r="F924" i="2"/>
  <c r="F923" i="2"/>
  <c r="F922" i="2"/>
  <c r="F921" i="2"/>
  <c r="F920" i="2"/>
  <c r="F919" i="2"/>
  <c r="M916" i="2"/>
  <c r="K916" i="2"/>
  <c r="A916" i="2"/>
  <c r="F915" i="2"/>
  <c r="F914" i="2"/>
  <c r="F913" i="2"/>
  <c r="F912" i="2"/>
  <c r="F911" i="2"/>
  <c r="F910" i="2"/>
  <c r="F909" i="2"/>
  <c r="F908" i="2"/>
  <c r="F907" i="2"/>
  <c r="F906" i="2"/>
  <c r="F905" i="2"/>
  <c r="M902" i="2"/>
  <c r="K902" i="2"/>
  <c r="A902" i="2"/>
  <c r="F901" i="2"/>
  <c r="F900" i="2"/>
  <c r="F899" i="2"/>
  <c r="F898" i="2"/>
  <c r="F897" i="2"/>
  <c r="F896" i="2"/>
  <c r="F895" i="2"/>
  <c r="F894" i="2"/>
  <c r="F893" i="2"/>
  <c r="F892" i="2"/>
  <c r="F891" i="2"/>
  <c r="M888" i="2"/>
  <c r="K888" i="2"/>
  <c r="A888" i="2"/>
  <c r="F887" i="2"/>
  <c r="F886" i="2"/>
  <c r="F885" i="2"/>
  <c r="F884" i="2"/>
  <c r="F883" i="2"/>
  <c r="F882" i="2"/>
  <c r="F881" i="2"/>
  <c r="F880" i="2"/>
  <c r="F879" i="2"/>
  <c r="F878" i="2"/>
  <c r="F877" i="2"/>
  <c r="M874" i="2"/>
  <c r="K874" i="2"/>
  <c r="A874" i="2"/>
  <c r="F873" i="2"/>
  <c r="F872" i="2"/>
  <c r="F871" i="2"/>
  <c r="F870" i="2"/>
  <c r="F869" i="2"/>
  <c r="F868" i="2"/>
  <c r="F867" i="2"/>
  <c r="F866" i="2"/>
  <c r="F865" i="2"/>
  <c r="F864" i="2"/>
  <c r="F863" i="2"/>
  <c r="M860" i="2"/>
  <c r="K860" i="2"/>
  <c r="A860" i="2"/>
  <c r="F859" i="2"/>
  <c r="F858" i="2"/>
  <c r="F857" i="2"/>
  <c r="F856" i="2"/>
  <c r="F855" i="2"/>
  <c r="F854" i="2"/>
  <c r="F853" i="2"/>
  <c r="F852" i="2"/>
  <c r="F851" i="2"/>
  <c r="F850" i="2"/>
  <c r="F849" i="2"/>
  <c r="M846" i="2"/>
  <c r="K846" i="2"/>
  <c r="A846" i="2"/>
  <c r="F845" i="2"/>
  <c r="F844" i="2"/>
  <c r="F843" i="2"/>
  <c r="F842" i="2"/>
  <c r="F841" i="2"/>
  <c r="F840" i="2"/>
  <c r="F839" i="2"/>
  <c r="F838" i="2"/>
  <c r="F837" i="2"/>
  <c r="F836" i="2"/>
  <c r="F835" i="2"/>
  <c r="M832" i="2"/>
  <c r="K832" i="2"/>
  <c r="A832" i="2"/>
  <c r="F831" i="2"/>
  <c r="F830" i="2"/>
  <c r="F829" i="2"/>
  <c r="F828" i="2"/>
  <c r="F827" i="2"/>
  <c r="F826" i="2"/>
  <c r="F825" i="2"/>
  <c r="F823" i="2"/>
  <c r="F822" i="2"/>
  <c r="F821" i="2"/>
  <c r="F820" i="2"/>
  <c r="F819" i="2"/>
  <c r="F818" i="2"/>
  <c r="F817" i="2"/>
  <c r="F816" i="2"/>
  <c r="F815" i="2"/>
  <c r="F814" i="2"/>
  <c r="M811" i="2"/>
  <c r="K811" i="2"/>
  <c r="A811" i="2"/>
  <c r="F810" i="2"/>
  <c r="F809" i="2"/>
  <c r="F808" i="2"/>
  <c r="F807" i="2"/>
  <c r="F806" i="2"/>
  <c r="F805" i="2"/>
  <c r="F804" i="2"/>
  <c r="F803" i="2"/>
  <c r="F802" i="2"/>
  <c r="F801" i="2"/>
  <c r="F800" i="2"/>
  <c r="F798" i="2"/>
  <c r="F797" i="2"/>
  <c r="F796" i="2"/>
  <c r="F795" i="2"/>
  <c r="F794" i="2"/>
  <c r="F793" i="2"/>
  <c r="F792" i="2"/>
  <c r="F791" i="2"/>
  <c r="F790" i="2"/>
  <c r="F789" i="2"/>
  <c r="M786" i="2"/>
  <c r="K786" i="2"/>
  <c r="A786" i="2"/>
  <c r="F785" i="2"/>
  <c r="F784" i="2"/>
  <c r="F783" i="2"/>
  <c r="F782" i="2"/>
  <c r="F781" i="2"/>
  <c r="F780" i="2"/>
  <c r="F779" i="2"/>
  <c r="F778" i="2"/>
  <c r="F777" i="2"/>
  <c r="F776" i="2"/>
  <c r="F775" i="2"/>
  <c r="F773" i="2"/>
  <c r="F772" i="2"/>
  <c r="F771" i="2"/>
  <c r="F770" i="2"/>
  <c r="F769" i="2"/>
  <c r="F768" i="2"/>
  <c r="F767" i="2"/>
  <c r="F766" i="2"/>
  <c r="F765" i="2"/>
  <c r="F764" i="2"/>
  <c r="M761" i="2"/>
  <c r="K761" i="2"/>
  <c r="A761" i="2"/>
  <c r="F760" i="2"/>
  <c r="F759" i="2"/>
  <c r="F758" i="2"/>
  <c r="F757" i="2"/>
  <c r="F756" i="2"/>
  <c r="F755" i="2"/>
  <c r="F754" i="2"/>
  <c r="F753" i="2"/>
  <c r="F752" i="2"/>
  <c r="F751" i="2"/>
  <c r="F750" i="2"/>
  <c r="F748" i="2"/>
  <c r="F747" i="2"/>
  <c r="F746" i="2"/>
  <c r="F745" i="2"/>
  <c r="F744" i="2"/>
  <c r="F743" i="2"/>
  <c r="F742" i="2"/>
  <c r="F741" i="2"/>
  <c r="F740" i="2"/>
  <c r="F739" i="2"/>
  <c r="F737" i="2"/>
  <c r="F736" i="2"/>
  <c r="F735" i="2"/>
  <c r="F734" i="2"/>
  <c r="F733" i="2"/>
  <c r="F732" i="2"/>
  <c r="F731" i="2"/>
  <c r="F730" i="2"/>
  <c r="F729" i="2"/>
  <c r="F728" i="2"/>
  <c r="M725" i="2"/>
  <c r="K725" i="2"/>
  <c r="A725" i="2"/>
  <c r="F724" i="2"/>
  <c r="F723" i="2"/>
  <c r="F722" i="2"/>
  <c r="F721" i="2"/>
  <c r="F720" i="2"/>
  <c r="F719" i="2"/>
  <c r="F718" i="2"/>
  <c r="F717" i="2"/>
  <c r="F716" i="2"/>
  <c r="F715" i="2"/>
  <c r="F714" i="2"/>
  <c r="F712" i="2"/>
  <c r="F711" i="2"/>
  <c r="F710" i="2"/>
  <c r="F709" i="2"/>
  <c r="F708" i="2"/>
  <c r="F707" i="2"/>
  <c r="F706" i="2"/>
  <c r="F705" i="2"/>
  <c r="F704" i="2"/>
  <c r="F703" i="2"/>
  <c r="F701" i="2"/>
  <c r="F700" i="2"/>
  <c r="F699" i="2"/>
  <c r="F698" i="2"/>
  <c r="F697" i="2"/>
  <c r="F696" i="2"/>
  <c r="F695" i="2"/>
  <c r="F694" i="2"/>
  <c r="F693" i="2"/>
  <c r="F692" i="2"/>
  <c r="M689" i="2"/>
  <c r="K689" i="2"/>
  <c r="A689" i="2"/>
  <c r="F688" i="2"/>
  <c r="F687" i="2"/>
  <c r="F686" i="2"/>
  <c r="F685" i="2"/>
  <c r="F684" i="2"/>
  <c r="F683" i="2"/>
  <c r="F682" i="2"/>
  <c r="F681" i="2"/>
  <c r="F680" i="2"/>
  <c r="F679" i="2"/>
  <c r="F678" i="2"/>
  <c r="M675" i="2"/>
  <c r="K675" i="2"/>
  <c r="A675" i="2"/>
  <c r="F674" i="2"/>
  <c r="F673" i="2"/>
  <c r="F672" i="2"/>
  <c r="F671" i="2"/>
  <c r="F670" i="2"/>
  <c r="F669" i="2"/>
  <c r="F668" i="2"/>
  <c r="F667" i="2"/>
  <c r="F666" i="2"/>
  <c r="F665" i="2"/>
  <c r="F664" i="2"/>
  <c r="F662" i="2"/>
  <c r="F661" i="2"/>
  <c r="F660" i="2"/>
  <c r="F659" i="2"/>
  <c r="F658" i="2"/>
  <c r="F657" i="2"/>
  <c r="F656" i="2"/>
  <c r="F655" i="2"/>
  <c r="F654" i="2"/>
  <c r="F653" i="2"/>
  <c r="M650" i="2"/>
  <c r="K650" i="2"/>
  <c r="A650" i="2"/>
  <c r="F649" i="2"/>
  <c r="F648" i="2"/>
  <c r="F647" i="2"/>
  <c r="F646" i="2"/>
  <c r="F645" i="2"/>
  <c r="F644" i="2"/>
  <c r="F642" i="2"/>
  <c r="F641" i="2"/>
  <c r="F640" i="2"/>
  <c r="F639" i="2"/>
  <c r="F638" i="2"/>
  <c r="F637" i="2"/>
  <c r="F636" i="2"/>
  <c r="F635" i="2"/>
  <c r="F634" i="2"/>
  <c r="F633" i="2"/>
  <c r="F631" i="2"/>
  <c r="F630" i="2"/>
  <c r="F629" i="2"/>
  <c r="F628" i="2"/>
  <c r="F627" i="2"/>
  <c r="F626" i="2"/>
  <c r="F625" i="2"/>
  <c r="F624" i="2"/>
  <c r="F623" i="2"/>
  <c r="F622" i="2"/>
  <c r="M619" i="2"/>
  <c r="K619" i="2"/>
  <c r="A619" i="2"/>
  <c r="F618" i="2"/>
  <c r="F617" i="2"/>
  <c r="F616" i="2"/>
  <c r="F615" i="2"/>
  <c r="F614" i="2"/>
  <c r="F613" i="2"/>
  <c r="F612" i="2"/>
  <c r="F611" i="2"/>
  <c r="F610" i="2"/>
  <c r="F609" i="2"/>
  <c r="F608" i="2"/>
  <c r="F606" i="2"/>
  <c r="F605" i="2"/>
  <c r="F604" i="2"/>
  <c r="F603" i="2"/>
  <c r="F602" i="2"/>
  <c r="F601" i="2"/>
  <c r="F600" i="2"/>
  <c r="F599" i="2"/>
  <c r="F598" i="2"/>
  <c r="F597" i="2"/>
  <c r="F595" i="2"/>
  <c r="F594" i="2"/>
  <c r="F593" i="2"/>
  <c r="F592" i="2"/>
  <c r="F591" i="2"/>
  <c r="F590" i="2"/>
  <c r="F589" i="2"/>
  <c r="F588" i="2"/>
  <c r="F587" i="2"/>
  <c r="F586" i="2"/>
  <c r="M583" i="2"/>
  <c r="K583" i="2"/>
  <c r="A583" i="2"/>
  <c r="F582" i="2"/>
  <c r="F581" i="2"/>
  <c r="F580" i="2"/>
  <c r="F579" i="2"/>
  <c r="F578" i="2"/>
  <c r="F577" i="2"/>
  <c r="F576" i="2"/>
  <c r="F575" i="2"/>
  <c r="F574" i="2"/>
  <c r="F573" i="2"/>
  <c r="F572" i="2"/>
  <c r="F570" i="2"/>
  <c r="F569" i="2"/>
  <c r="F568" i="2"/>
  <c r="F567" i="2"/>
  <c r="F566" i="2"/>
  <c r="F565" i="2"/>
  <c r="F564" i="2"/>
  <c r="F563" i="2"/>
  <c r="F562" i="2"/>
  <c r="F561" i="2"/>
  <c r="F559" i="2"/>
  <c r="F558" i="2"/>
  <c r="F557" i="2"/>
  <c r="F556" i="2"/>
  <c r="F555" i="2"/>
  <c r="F554" i="2"/>
  <c r="F553" i="2"/>
  <c r="F552" i="2"/>
  <c r="F551" i="2"/>
  <c r="F550" i="2"/>
  <c r="M547" i="2"/>
  <c r="K547" i="2"/>
  <c r="A547" i="2"/>
  <c r="F546" i="2"/>
  <c r="F545" i="2"/>
  <c r="F544" i="2"/>
  <c r="F543" i="2"/>
  <c r="F542" i="2"/>
  <c r="F541" i="2"/>
  <c r="F540" i="2"/>
  <c r="F539" i="2"/>
  <c r="F538" i="2"/>
  <c r="F537" i="2"/>
  <c r="F536" i="2"/>
  <c r="F534" i="2"/>
  <c r="F533" i="2"/>
  <c r="F532" i="2"/>
  <c r="F531" i="2"/>
  <c r="F530" i="2"/>
  <c r="F529" i="2"/>
  <c r="F528" i="2"/>
  <c r="F527" i="2"/>
  <c r="F526" i="2"/>
  <c r="F525" i="2"/>
  <c r="F523" i="2"/>
  <c r="F522" i="2"/>
  <c r="F521" i="2"/>
  <c r="F520" i="2"/>
  <c r="F519" i="2"/>
  <c r="F518" i="2"/>
  <c r="F517" i="2"/>
  <c r="F516" i="2"/>
  <c r="F515" i="2"/>
  <c r="F514" i="2"/>
  <c r="M511" i="2"/>
  <c r="K511" i="2"/>
  <c r="A511" i="2"/>
  <c r="F510" i="2"/>
  <c r="F509" i="2"/>
  <c r="F508" i="2"/>
  <c r="F507" i="2"/>
  <c r="F506" i="2"/>
  <c r="F505" i="2"/>
  <c r="F504" i="2"/>
  <c r="F503" i="2"/>
  <c r="F502" i="2"/>
  <c r="F501" i="2"/>
  <c r="F500" i="2"/>
  <c r="F498" i="2"/>
  <c r="F497" i="2"/>
  <c r="F496" i="2"/>
  <c r="F495" i="2"/>
  <c r="F494" i="2"/>
  <c r="F493" i="2"/>
  <c r="F492" i="2"/>
  <c r="F491" i="2"/>
  <c r="F490" i="2"/>
  <c r="F489" i="2"/>
  <c r="F487" i="2"/>
  <c r="F486" i="2"/>
  <c r="F485" i="2"/>
  <c r="F484" i="2"/>
  <c r="F483" i="2"/>
  <c r="F482" i="2"/>
  <c r="F481" i="2"/>
  <c r="F480" i="2"/>
  <c r="F479" i="2"/>
  <c r="F478" i="2"/>
  <c r="M475" i="2"/>
  <c r="K475" i="2"/>
  <c r="A475" i="2"/>
  <c r="F474" i="2"/>
  <c r="F473" i="2"/>
  <c r="F472" i="2"/>
  <c r="F471" i="2"/>
  <c r="F470" i="2"/>
  <c r="F469" i="2"/>
  <c r="F468" i="2"/>
  <c r="F467" i="2"/>
  <c r="F466" i="2"/>
  <c r="F465" i="2"/>
  <c r="F464" i="2"/>
  <c r="M461" i="2"/>
  <c r="K461" i="2"/>
  <c r="A461" i="2"/>
  <c r="F460" i="2"/>
  <c r="F459" i="2"/>
  <c r="F458" i="2"/>
  <c r="F457" i="2"/>
  <c r="F456" i="2"/>
  <c r="F455" i="2"/>
  <c r="F454" i="2"/>
  <c r="F453" i="2"/>
  <c r="F452" i="2"/>
  <c r="F451" i="2"/>
  <c r="F450" i="2"/>
  <c r="M447" i="2"/>
  <c r="K447" i="2"/>
  <c r="A447" i="2"/>
  <c r="F446" i="2"/>
  <c r="F445" i="2"/>
  <c r="F444" i="2"/>
  <c r="F443" i="2"/>
  <c r="F442" i="2"/>
  <c r="F441" i="2"/>
  <c r="F440" i="2"/>
  <c r="F439" i="2"/>
  <c r="F438" i="2"/>
  <c r="F437" i="2"/>
  <c r="F436" i="2"/>
  <c r="M433" i="2"/>
  <c r="K433" i="2"/>
  <c r="A433" i="2"/>
  <c r="F432" i="2"/>
  <c r="F431" i="2"/>
  <c r="F430" i="2"/>
  <c r="F429" i="2"/>
  <c r="F428" i="2"/>
  <c r="F427" i="2"/>
  <c r="F426" i="2"/>
  <c r="F425" i="2"/>
  <c r="F424" i="2"/>
  <c r="F423" i="2"/>
  <c r="F422" i="2"/>
  <c r="M419" i="2"/>
  <c r="K419" i="2"/>
  <c r="A419" i="2"/>
  <c r="F418" i="2"/>
  <c r="F417" i="2"/>
  <c r="F416" i="2"/>
  <c r="F415" i="2"/>
  <c r="F414" i="2"/>
  <c r="F413" i="2"/>
  <c r="F412" i="2"/>
  <c r="F411" i="2"/>
  <c r="F410" i="2"/>
  <c r="F409" i="2"/>
  <c r="F408" i="2"/>
  <c r="M405" i="2"/>
  <c r="K405" i="2"/>
  <c r="A405" i="2"/>
  <c r="F404" i="2"/>
  <c r="F403" i="2"/>
  <c r="F402" i="2"/>
  <c r="F401" i="2"/>
  <c r="F400" i="2"/>
  <c r="F399" i="2"/>
  <c r="F398" i="2"/>
  <c r="F397" i="2"/>
  <c r="F396" i="2"/>
  <c r="F395" i="2"/>
  <c r="F394" i="2"/>
  <c r="M391" i="2"/>
  <c r="K391" i="2"/>
  <c r="A391" i="2"/>
  <c r="F390" i="2"/>
  <c r="F389" i="2"/>
  <c r="F388" i="2"/>
  <c r="F387" i="2"/>
  <c r="F386" i="2"/>
  <c r="F385" i="2"/>
  <c r="F384" i="2"/>
  <c r="F383" i="2"/>
  <c r="F382" i="2"/>
  <c r="F381" i="2"/>
  <c r="F380" i="2"/>
  <c r="M377" i="2"/>
  <c r="K377" i="2"/>
  <c r="A377" i="2"/>
  <c r="F376" i="2"/>
  <c r="F375" i="2"/>
  <c r="F374" i="2"/>
  <c r="F373" i="2"/>
  <c r="F372" i="2"/>
  <c r="F371" i="2"/>
  <c r="F370" i="2"/>
  <c r="F369" i="2"/>
  <c r="F368" i="2"/>
  <c r="F367" i="2"/>
  <c r="F366" i="2"/>
  <c r="M363" i="2"/>
  <c r="K363" i="2"/>
  <c r="A363" i="2"/>
  <c r="F362" i="2"/>
  <c r="F361" i="2"/>
  <c r="F360" i="2"/>
  <c r="F359" i="2"/>
  <c r="F358" i="2"/>
  <c r="F357" i="2"/>
  <c r="F356" i="2"/>
  <c r="F355" i="2"/>
  <c r="F354" i="2"/>
  <c r="F353" i="2"/>
  <c r="F352" i="2"/>
  <c r="M349" i="2"/>
  <c r="K349" i="2"/>
  <c r="G349" i="2"/>
  <c r="J349" i="2" s="1"/>
  <c r="I349" i="2" s="1"/>
  <c r="A349" i="2"/>
  <c r="F348" i="2"/>
  <c r="F347" i="2"/>
  <c r="F346" i="2"/>
  <c r="F345" i="2"/>
  <c r="F344" i="2"/>
  <c r="F343" i="2"/>
  <c r="F342" i="2"/>
  <c r="F341" i="2"/>
  <c r="F340" i="2"/>
  <c r="F339" i="2"/>
  <c r="F338" i="2"/>
  <c r="F336" i="2"/>
  <c r="F335" i="2"/>
  <c r="F334" i="2"/>
  <c r="F333" i="2"/>
  <c r="F332" i="2"/>
  <c r="F331" i="2"/>
  <c r="F330" i="2"/>
  <c r="F329" i="2"/>
  <c r="F328" i="2"/>
  <c r="F327" i="2"/>
  <c r="M324" i="2"/>
  <c r="K324" i="2"/>
  <c r="A324" i="2"/>
  <c r="F323" i="2"/>
  <c r="F322" i="2"/>
  <c r="F321" i="2"/>
  <c r="F320" i="2"/>
  <c r="F319" i="2"/>
  <c r="F318" i="2"/>
  <c r="F317" i="2"/>
  <c r="F316" i="2"/>
  <c r="F315" i="2"/>
  <c r="F314" i="2"/>
  <c r="F313" i="2"/>
  <c r="M310" i="2"/>
  <c r="K310" i="2"/>
  <c r="A310" i="2"/>
  <c r="F309" i="2"/>
  <c r="F308" i="2"/>
  <c r="F307" i="2"/>
  <c r="F306" i="2"/>
  <c r="F305" i="2"/>
  <c r="F304" i="2"/>
  <c r="F303" i="2"/>
  <c r="F302" i="2"/>
  <c r="F301" i="2"/>
  <c r="F300" i="2"/>
  <c r="F299" i="2"/>
  <c r="M296" i="2"/>
  <c r="K296" i="2"/>
  <c r="A296" i="2"/>
  <c r="F295" i="2"/>
  <c r="M293" i="2"/>
  <c r="K293" i="2"/>
  <c r="A293" i="2"/>
  <c r="F292" i="2"/>
  <c r="F291" i="2"/>
  <c r="F290" i="2"/>
  <c r="F289" i="2"/>
  <c r="F288" i="2"/>
  <c r="F287" i="2"/>
  <c r="F286" i="2"/>
  <c r="F285" i="2"/>
  <c r="F284" i="2"/>
  <c r="F283" i="2"/>
  <c r="F282" i="2"/>
  <c r="M279" i="2"/>
  <c r="K279" i="2"/>
  <c r="A279" i="2"/>
  <c r="F278" i="2"/>
  <c r="F277" i="2"/>
  <c r="F276" i="2"/>
  <c r="F275" i="2"/>
  <c r="F274" i="2"/>
  <c r="F273" i="2"/>
  <c r="F272" i="2"/>
  <c r="F271" i="2"/>
  <c r="F270" i="2"/>
  <c r="F269" i="2"/>
  <c r="F268" i="2"/>
  <c r="F266" i="2"/>
  <c r="F265" i="2"/>
  <c r="F264" i="2"/>
  <c r="F263" i="2"/>
  <c r="F262" i="2"/>
  <c r="F261" i="2"/>
  <c r="F260" i="2"/>
  <c r="F259" i="2"/>
  <c r="F258" i="2"/>
  <c r="F257" i="2"/>
  <c r="M254" i="2"/>
  <c r="K254" i="2"/>
  <c r="A254" i="2"/>
  <c r="F253" i="2"/>
  <c r="F252" i="2"/>
  <c r="F251" i="2"/>
  <c r="F250" i="2"/>
  <c r="F248" i="2"/>
  <c r="F247" i="2"/>
  <c r="F246" i="2"/>
  <c r="F245" i="2"/>
  <c r="F244" i="2"/>
  <c r="F243" i="2"/>
  <c r="F242" i="2"/>
  <c r="F241" i="2"/>
  <c r="F240" i="2"/>
  <c r="F239" i="2"/>
  <c r="F237" i="2"/>
  <c r="F236" i="2"/>
  <c r="F235" i="2"/>
  <c r="F234" i="2"/>
  <c r="F233" i="2"/>
  <c r="F232" i="2"/>
  <c r="F231" i="2"/>
  <c r="F230" i="2"/>
  <c r="F229" i="2"/>
  <c r="F228" i="2"/>
  <c r="M225" i="2"/>
  <c r="K225" i="2"/>
  <c r="A225" i="2"/>
  <c r="F224" i="2"/>
  <c r="F223" i="2"/>
  <c r="F222" i="2"/>
  <c r="F221" i="2"/>
  <c r="F220" i="2"/>
  <c r="F219" i="2"/>
  <c r="F218" i="2"/>
  <c r="F217" i="2"/>
  <c r="F216" i="2"/>
  <c r="F215" i="2"/>
  <c r="F214" i="2"/>
  <c r="F212" i="2"/>
  <c r="F211" i="2"/>
  <c r="F210" i="2"/>
  <c r="F209" i="2"/>
  <c r="F208" i="2"/>
  <c r="F207" i="2"/>
  <c r="F206" i="2"/>
  <c r="F205" i="2"/>
  <c r="F204" i="2"/>
  <c r="F203" i="2"/>
  <c r="M200" i="2"/>
  <c r="K200" i="2"/>
  <c r="A200" i="2"/>
  <c r="F199" i="2"/>
  <c r="M197" i="2"/>
  <c r="K197" i="2"/>
  <c r="A197" i="2"/>
  <c r="F196" i="2"/>
  <c r="F195" i="2"/>
  <c r="F194" i="2"/>
  <c r="F193" i="2"/>
  <c r="F192" i="2"/>
  <c r="F191" i="2"/>
  <c r="F190" i="2"/>
  <c r="F189" i="2"/>
  <c r="F188" i="2"/>
  <c r="F187" i="2"/>
  <c r="F186" i="2"/>
  <c r="F184" i="2"/>
  <c r="F183" i="2"/>
  <c r="F182" i="2"/>
  <c r="F181" i="2"/>
  <c r="F180" i="2"/>
  <c r="F179" i="2"/>
  <c r="F178" i="2"/>
  <c r="F177" i="2"/>
  <c r="F176" i="2"/>
  <c r="F175" i="2"/>
  <c r="F173" i="2"/>
  <c r="F172" i="2"/>
  <c r="F171" i="2"/>
  <c r="F170" i="2"/>
  <c r="F169" i="2"/>
  <c r="F168" i="2"/>
  <c r="F167" i="2"/>
  <c r="F166" i="2"/>
  <c r="F165" i="2"/>
  <c r="F164" i="2"/>
  <c r="M161" i="2"/>
  <c r="K161" i="2"/>
  <c r="A161" i="2"/>
  <c r="F160" i="2"/>
  <c r="F159" i="2"/>
  <c r="F158" i="2"/>
  <c r="F157" i="2"/>
  <c r="F156" i="2"/>
  <c r="F155" i="2"/>
  <c r="F154" i="2"/>
  <c r="F153" i="2"/>
  <c r="F152" i="2"/>
  <c r="F151" i="2"/>
  <c r="F150" i="2"/>
  <c r="F148" i="2"/>
  <c r="F147" i="2"/>
  <c r="F146" i="2"/>
  <c r="F145" i="2"/>
  <c r="F144" i="2"/>
  <c r="F143" i="2"/>
  <c r="F142" i="2"/>
  <c r="F141" i="2"/>
  <c r="F140" i="2"/>
  <c r="F139" i="2"/>
  <c r="M136" i="2"/>
  <c r="K136" i="2"/>
  <c r="A136" i="2"/>
  <c r="F135" i="2"/>
  <c r="F134" i="2"/>
  <c r="F133" i="2"/>
  <c r="F132" i="2"/>
  <c r="F131" i="2"/>
  <c r="F130" i="2"/>
  <c r="F129" i="2"/>
  <c r="F128" i="2"/>
  <c r="F127" i="2"/>
  <c r="F126" i="2"/>
  <c r="F125" i="2"/>
  <c r="F123" i="2"/>
  <c r="F122" i="2"/>
  <c r="F121" i="2"/>
  <c r="F120" i="2"/>
  <c r="F119" i="2"/>
  <c r="F118" i="2"/>
  <c r="F117" i="2"/>
  <c r="F116" i="2"/>
  <c r="F115" i="2"/>
  <c r="F114" i="2"/>
  <c r="F112" i="2"/>
  <c r="F111" i="2"/>
  <c r="F110" i="2"/>
  <c r="F109" i="2"/>
  <c r="F108" i="2"/>
  <c r="F107" i="2"/>
  <c r="F106" i="2"/>
  <c r="F105" i="2"/>
  <c r="F104" i="2"/>
  <c r="F103" i="2"/>
  <c r="M100" i="2"/>
  <c r="K100" i="2"/>
  <c r="A100" i="2"/>
  <c r="F99" i="2"/>
  <c r="F98" i="2"/>
  <c r="F97" i="2"/>
  <c r="F96" i="2"/>
  <c r="F95" i="2"/>
  <c r="F94" i="2"/>
  <c r="F93" i="2"/>
  <c r="F92" i="2"/>
  <c r="F91" i="2"/>
  <c r="F90" i="2"/>
  <c r="F89" i="2"/>
  <c r="F87" i="2"/>
  <c r="F86" i="2"/>
  <c r="F85" i="2"/>
  <c r="F84" i="2"/>
  <c r="F83" i="2"/>
  <c r="F82" i="2"/>
  <c r="F81" i="2"/>
  <c r="F80" i="2"/>
  <c r="F79" i="2"/>
  <c r="F78" i="2"/>
  <c r="F76" i="2"/>
  <c r="F75" i="2"/>
  <c r="F74" i="2"/>
  <c r="F73" i="2"/>
  <c r="F72" i="2"/>
  <c r="F71" i="2"/>
  <c r="F70" i="2"/>
  <c r="F69" i="2"/>
  <c r="F68" i="2"/>
  <c r="F67" i="2"/>
  <c r="M64" i="2"/>
  <c r="K64" i="2"/>
  <c r="A64" i="2"/>
  <c r="F63" i="2"/>
  <c r="F62" i="2"/>
  <c r="F61" i="2"/>
  <c r="F60" i="2"/>
  <c r="F59" i="2"/>
  <c r="F58" i="2"/>
  <c r="F57" i="2"/>
  <c r="F56" i="2"/>
  <c r="F55" i="2"/>
  <c r="F54" i="2"/>
  <c r="F53" i="2"/>
  <c r="F51" i="2"/>
  <c r="F50" i="2"/>
  <c r="F49" i="2"/>
  <c r="F48" i="2"/>
  <c r="F47" i="2"/>
  <c r="F46" i="2"/>
  <c r="F45" i="2"/>
  <c r="F44" i="2"/>
  <c r="F43" i="2"/>
  <c r="F42" i="2"/>
  <c r="F40" i="2"/>
  <c r="F39" i="2"/>
  <c r="F38" i="2"/>
  <c r="F37" i="2"/>
  <c r="F36" i="2"/>
  <c r="F35" i="2"/>
  <c r="F34" i="2"/>
  <c r="F33" i="2"/>
  <c r="F32" i="2"/>
  <c r="F31" i="2"/>
  <c r="M28" i="2"/>
  <c r="K28" i="2"/>
  <c r="A28" i="2"/>
  <c r="F27" i="2"/>
  <c r="F26" i="2"/>
  <c r="F25" i="2"/>
  <c r="F24" i="2"/>
  <c r="F23" i="2"/>
  <c r="F22" i="2"/>
  <c r="F21" i="2"/>
  <c r="F20" i="2"/>
  <c r="F19" i="2"/>
  <c r="F18" i="2"/>
  <c r="F17" i="2"/>
  <c r="M14" i="2"/>
  <c r="K14" i="2"/>
  <c r="A14" i="2"/>
  <c r="F13" i="2"/>
  <c r="F12" i="2"/>
  <c r="F11" i="2"/>
  <c r="F10" i="2"/>
  <c r="F9" i="2"/>
  <c r="F8" i="2"/>
  <c r="F7" i="2"/>
  <c r="F6" i="2"/>
  <c r="F5" i="2"/>
  <c r="F4" i="2"/>
  <c r="F3" i="2"/>
  <c r="A873" i="4"/>
  <c r="A872" i="4"/>
  <c r="A871" i="4"/>
  <c r="A870" i="4"/>
  <c r="A859" i="4"/>
  <c r="A858" i="4"/>
  <c r="A857" i="4"/>
  <c r="A856" i="4"/>
  <c r="A845" i="4"/>
  <c r="A844" i="4"/>
  <c r="A843" i="4"/>
  <c r="A842" i="4"/>
  <c r="A831" i="4"/>
  <c r="A830" i="4"/>
  <c r="A829" i="4"/>
  <c r="A828" i="4"/>
  <c r="A810" i="4"/>
  <c r="A809" i="4"/>
  <c r="A808" i="4"/>
  <c r="A785" i="4"/>
  <c r="A784" i="4"/>
  <c r="A783" i="4"/>
  <c r="A760" i="4"/>
  <c r="A759" i="4"/>
  <c r="A758" i="4"/>
  <c r="A724" i="4"/>
  <c r="A723" i="4"/>
  <c r="A722" i="4"/>
  <c r="A688" i="4"/>
  <c r="A687" i="4"/>
  <c r="A686" i="4"/>
  <c r="A674" i="4"/>
  <c r="A673" i="4"/>
  <c r="A672" i="4"/>
  <c r="A292" i="4"/>
  <c r="A278" i="4"/>
  <c r="A253" i="4"/>
  <c r="F349" i="2" l="1"/>
  <c r="I547" i="2"/>
  <c r="J547" i="2"/>
  <c r="G547" i="2"/>
  <c r="F363" i="2"/>
  <c r="I136" i="2"/>
  <c r="J136" i="2"/>
  <c r="G136" i="2"/>
  <c r="I619" i="2"/>
  <c r="J619" i="2"/>
  <c r="G619" i="2"/>
  <c r="F136" i="2"/>
  <c r="F786" i="2"/>
  <c r="F930" i="2"/>
  <c r="I14" i="2"/>
  <c r="J14" i="2"/>
  <c r="G14" i="2"/>
  <c r="F725" i="2"/>
  <c r="F64" i="2"/>
  <c r="I916" i="2"/>
  <c r="J916" i="2"/>
  <c r="G916" i="2"/>
  <c r="F902" i="2"/>
  <c r="I64" i="2"/>
  <c r="J64" i="2"/>
  <c r="G64" i="2"/>
  <c r="I761" i="2"/>
  <c r="J761" i="2"/>
  <c r="G761" i="2"/>
  <c r="G200" i="2"/>
  <c r="J200" i="2"/>
  <c r="I200" i="2"/>
  <c r="F324" i="2"/>
  <c r="I161" i="2"/>
  <c r="J161" i="2"/>
  <c r="G161" i="2"/>
  <c r="F675" i="2"/>
  <c r="F419" i="2"/>
  <c r="F310" i="2"/>
  <c r="G225" i="2"/>
  <c r="J225" i="2"/>
  <c r="I225" i="2"/>
  <c r="F916" i="2"/>
  <c r="F846" i="2"/>
  <c r="G930" i="2"/>
  <c r="J930" i="2"/>
  <c r="I930" i="2"/>
  <c r="F14" i="2"/>
  <c r="F511" i="2"/>
  <c r="F293" i="2"/>
  <c r="F391" i="2"/>
  <c r="I902" i="2"/>
  <c r="J902" i="2"/>
  <c r="G902" i="2"/>
  <c r="I461" i="2"/>
  <c r="J461" i="2"/>
  <c r="G461" i="2"/>
  <c r="F761" i="2"/>
  <c r="F461" i="2"/>
  <c r="I197" i="2"/>
  <c r="J197" i="2"/>
  <c r="G197" i="2"/>
  <c r="I583" i="2"/>
  <c r="J583" i="2"/>
  <c r="G583" i="2"/>
  <c r="F433" i="2"/>
  <c r="F619" i="2"/>
  <c r="I675" i="2"/>
  <c r="J675" i="2"/>
  <c r="G675" i="2"/>
  <c r="F888" i="2"/>
  <c r="F254" i="2"/>
  <c r="F447" i="2"/>
  <c r="F100" i="2"/>
  <c r="F947" i="2"/>
  <c r="F200" i="2"/>
  <c r="I725" i="2"/>
  <c r="J725" i="2"/>
  <c r="G725" i="2"/>
  <c r="G786" i="2"/>
  <c r="J786" i="2"/>
  <c r="I786" i="2"/>
  <c r="G391" i="2"/>
  <c r="J391" i="2"/>
  <c r="I391" i="2"/>
  <c r="G310" i="2"/>
  <c r="J310" i="2"/>
  <c r="I310" i="2"/>
  <c r="F225" i="2"/>
  <c r="I363" i="2"/>
  <c r="J363" i="2"/>
  <c r="G363" i="2"/>
  <c r="F475" i="2"/>
  <c r="F874" i="2"/>
  <c r="G377" i="2"/>
  <c r="J377" i="2"/>
  <c r="I377" i="2"/>
  <c r="G279" i="2"/>
  <c r="J279" i="2"/>
  <c r="I279" i="2"/>
  <c r="F650" i="2"/>
  <c r="I511" i="2"/>
  <c r="J511" i="2"/>
  <c r="G511" i="2"/>
  <c r="F944" i="2"/>
  <c r="F689" i="2"/>
  <c r="F832" i="2"/>
  <c r="G475" i="2"/>
  <c r="J475" i="2"/>
  <c r="I475" i="2"/>
  <c r="I296" i="2"/>
  <c r="J296" i="2"/>
  <c r="G296" i="2"/>
  <c r="F377" i="2"/>
  <c r="F279" i="2"/>
  <c r="G28" i="2"/>
  <c r="J28" i="2"/>
  <c r="I28" i="2"/>
  <c r="G689" i="2"/>
  <c r="J689" i="2"/>
  <c r="I689" i="2"/>
  <c r="I944" i="2"/>
  <c r="J944" i="2"/>
  <c r="G944" i="2"/>
  <c r="I832" i="2"/>
  <c r="J832" i="2"/>
  <c r="G832" i="2"/>
  <c r="F583" i="2"/>
  <c r="G888" i="2"/>
  <c r="J888" i="2"/>
  <c r="I888" i="2"/>
  <c r="G961" i="2"/>
  <c r="J961" i="2"/>
  <c r="I961" i="2"/>
  <c r="G405" i="2"/>
  <c r="J405" i="2"/>
  <c r="I405" i="2"/>
  <c r="G324" i="2"/>
  <c r="J324" i="2"/>
  <c r="I324" i="2"/>
  <c r="F28" i="2"/>
  <c r="F405" i="2"/>
  <c r="F296" i="2"/>
  <c r="I447" i="2"/>
  <c r="J447" i="2"/>
  <c r="G447" i="2"/>
  <c r="G293" i="2"/>
  <c r="J293" i="2"/>
  <c r="I293" i="2"/>
  <c r="G650" i="2"/>
  <c r="J650" i="2"/>
  <c r="I650" i="2"/>
  <c r="G947" i="2"/>
  <c r="J947" i="2"/>
  <c r="I947" i="2"/>
  <c r="G874" i="2"/>
  <c r="J874" i="2"/>
  <c r="I874" i="2"/>
  <c r="G100" i="2"/>
  <c r="J100" i="2"/>
  <c r="I100" i="2"/>
  <c r="G419" i="2"/>
  <c r="J419" i="2"/>
  <c r="I419" i="2"/>
  <c r="G433" i="2"/>
  <c r="J433" i="2"/>
  <c r="I433" i="2"/>
  <c r="F811" i="2"/>
  <c r="F961" i="2"/>
  <c r="F547" i="2"/>
  <c r="G846" i="2"/>
  <c r="J846" i="2"/>
  <c r="I846" i="2"/>
  <c r="F161" i="2"/>
  <c r="F197" i="2"/>
  <c r="F860" i="2"/>
  <c r="G811" i="2"/>
  <c r="J811" i="2"/>
  <c r="I811" i="2"/>
  <c r="G860" i="2"/>
  <c r="J860" i="2"/>
  <c r="I860" i="2"/>
  <c r="G254" i="2"/>
  <c r="J254" i="2"/>
  <c r="I254" i="2"/>
</calcChain>
</file>

<file path=xl/sharedStrings.xml><?xml version="1.0" encoding="utf-8"?>
<sst xmlns="http://schemas.openxmlformats.org/spreadsheetml/2006/main" count="4479" uniqueCount="320">
  <si>
    <t>UL LIFE GROWTH SUPER FUND</t>
  </si>
  <si>
    <t>ULIF01108/02/07LIFEGRWSUP104</t>
  </si>
  <si>
    <t>ICICI BANK LIMITED</t>
  </si>
  <si>
    <t>RELIANCE INDUSTRIES LIMITED</t>
  </si>
  <si>
    <t>HOUSING DEVELOPMENT FINANCE CORP BANK</t>
  </si>
  <si>
    <t>BHARTI AIRTEL LIMITED</t>
  </si>
  <si>
    <t>INFOSYS LIMITED</t>
  </si>
  <si>
    <t>LARSEN &amp; TOUBRO LIMITED</t>
  </si>
  <si>
    <t>Grand Total</t>
  </si>
  <si>
    <t>HIGH GROWTH FUND</t>
  </si>
  <si>
    <t>ULIF01311/02/08LIFEHIGHGR104</t>
  </si>
  <si>
    <t>UL LIFE GROWTH FUND</t>
  </si>
  <si>
    <t>ULIF00125/06/04LIFEGROWTH104</t>
  </si>
  <si>
    <t>MAHINDRA &amp; MAHINDRA LIMITED</t>
  </si>
  <si>
    <t>UL LIFE BALANCED FUND</t>
  </si>
  <si>
    <t>ULIF00225/06/04LIFEBALANC104</t>
  </si>
  <si>
    <t>UL LIFE CONSERVATIVE FUND</t>
  </si>
  <si>
    <t>ULIF00325/06/04LIFECONSER104</t>
  </si>
  <si>
    <t>UL LIFE SECURED FUND</t>
  </si>
  <si>
    <t>ULIF00425/06/04LIFESECURE104</t>
  </si>
  <si>
    <t>DYNAMIC OPPORTUINITIES FUND</t>
  </si>
  <si>
    <t>ULIF01425/03/08LIFEDYNOPP104</t>
  </si>
  <si>
    <t>UL MONEY MARKET FUND</t>
  </si>
  <si>
    <t>ULIF01528/04/09LIFEMONEYM104</t>
  </si>
  <si>
    <t>UL SECURE PLUS</t>
  </si>
  <si>
    <t>ULIF01628/04/09LIFESECPLS104</t>
  </si>
  <si>
    <t>GUARANTEED FUND- DYNAMIC</t>
  </si>
  <si>
    <t>ULIF01004/10/06AMSRGUADYN104</t>
  </si>
  <si>
    <t>GUARANTEED FUND-INCOME</t>
  </si>
  <si>
    <t>ULIF00904/10/06AMSRGUAINC104</t>
  </si>
  <si>
    <t>UL LIFE DIVERSIFIED EQUITY FUND</t>
  </si>
  <si>
    <t>ULIF02201/01/20LIFEDIVEQF104</t>
  </si>
  <si>
    <t>UL MONEY MARKET II FUND</t>
  </si>
  <si>
    <t>ULIF02301/01/20LIFEMONMK2104</t>
  </si>
  <si>
    <t>UL SUSTAINABLE EQUITY FUND</t>
  </si>
  <si>
    <t>ULIF02505/10/21SUSTAINEQU104</t>
  </si>
  <si>
    <t>UL PURE GROWTH FUND</t>
  </si>
  <si>
    <t>ULIF02630/12/22PUREGROWTH104</t>
  </si>
  <si>
    <t>UL LIFE DYNAMIC BOND FUND</t>
  </si>
  <si>
    <t>ULIF02401/01/20LIFEDYNBOF104</t>
  </si>
  <si>
    <t>NIFTY SMALLCAP QUALITY INDEX FUND</t>
  </si>
  <si>
    <t>ULIF02702/08/23NIFTYSMALL104</t>
  </si>
  <si>
    <t>MIDCAP MOMENTUM INDEX FUND</t>
  </si>
  <si>
    <t>ULIF02801/01/24MIDMOMENTM104</t>
  </si>
  <si>
    <t>NIFTY ALPHA 50 FUND</t>
  </si>
  <si>
    <t>ULIF02914/05/24ALPHAFIFTY104</t>
  </si>
  <si>
    <t>NIFTY 500 MOMENTUM 50 FUND</t>
  </si>
  <si>
    <t>ULIF03015/08/24MOMENFIFTY104</t>
  </si>
  <si>
    <t>NIFTY MOMENTUM QUALITY 50 FUND</t>
  </si>
  <si>
    <t>ULIF03127/10/24MOMQUALITY104</t>
  </si>
  <si>
    <t>SUSTAINABLE WEALTH 50 INDEX FUND</t>
  </si>
  <si>
    <t>ULIF03223/12/24SUSTWEALTH104</t>
  </si>
  <si>
    <t>SMART INNOVATION FUND</t>
  </si>
  <si>
    <t>ULIF03301/03/25INNOVATION104</t>
  </si>
  <si>
    <t>DISCONTINUANCE FUND INDIVIDUAL</t>
  </si>
  <si>
    <t>ULIF02021/06/13LIFEDISCON104</t>
  </si>
  <si>
    <t>UL PENSION GROWTH SUPER FUND</t>
  </si>
  <si>
    <t>ULIF01213/08/07PENSGRWSUP104</t>
  </si>
  <si>
    <t>PENSION LIFE GROWTH FUND</t>
  </si>
  <si>
    <t>ULIF00525/11/05PENSGROWTH104</t>
  </si>
  <si>
    <t>LIFEMAKER PENSION MAXIMISER FUND</t>
  </si>
  <si>
    <t>ULIF01715/02/13PENSMAXIMI104</t>
  </si>
  <si>
    <t>PENSION LIFE BALANCED FUND</t>
  </si>
  <si>
    <t>ULIF00625/11/05PENSBALANC104</t>
  </si>
  <si>
    <t>LIFEMAKER PENSION PRESERVER FUND</t>
  </si>
  <si>
    <t>ULIF01815/02/13PENSPRESER104</t>
  </si>
  <si>
    <t>PENSION LIFE CONSERVATIVE FUND</t>
  </si>
  <si>
    <t>ULIF00725/11/05PENSCONSER104</t>
  </si>
  <si>
    <t>PENSION LIFE SECURED FUND</t>
  </si>
  <si>
    <t>ULIF00825/11/05PENSSECURE104</t>
  </si>
  <si>
    <t>DISCONTINUANCE FUND PENSION</t>
  </si>
  <si>
    <t>ULIF01912/08/13PENSDISCON104</t>
  </si>
  <si>
    <t>GR GRATUITY GROWTH FUND</t>
  </si>
  <si>
    <t>ULGF00117/04/06GRATGROWTH104</t>
  </si>
  <si>
    <t>GR GRATUITY BALANCED FUND</t>
  </si>
  <si>
    <t>ULGF00217/04/06GRATBALANC104</t>
  </si>
  <si>
    <t>GROUP GRATUITY BOND FUND.</t>
  </si>
  <si>
    <t>ULGF00707/02/13GRATPLBOND104</t>
  </si>
  <si>
    <t>GR GRATUITY CONSERVATIVE FUND</t>
  </si>
  <si>
    <t>ULGF00317/04/06GRATCONSER104</t>
  </si>
  <si>
    <t>GROUP SUPERANNUATION CONSERVATIVE FUND</t>
  </si>
  <si>
    <t>ULGF00623/01/07SANNCONSER104</t>
  </si>
  <si>
    <t>SFIN</t>
  </si>
  <si>
    <t>Scheme Name</t>
  </si>
  <si>
    <t>Aum cr</t>
  </si>
  <si>
    <t>million</t>
  </si>
  <si>
    <t>Particular</t>
  </si>
  <si>
    <t>STATE BANK OF INDIA</t>
  </si>
  <si>
    <t xml:space="preserve">Nifty 500 Multifactor 50 Index Fund </t>
  </si>
  <si>
    <t>ULIF03414/05/25MULTIFACTO104</t>
  </si>
  <si>
    <t>NIFTY 500 MULTIFACTOR 50 INDEX FUND</t>
  </si>
  <si>
    <t>NIFTY 500 MULTIFACTOR 50 INDEX PENSION FUND</t>
  </si>
  <si>
    <t>ULIF03523/06/25PENSMULFAC104</t>
  </si>
  <si>
    <t>TOP 10 EQUITIES IN THE FUND</t>
  </si>
  <si>
    <t>BSE 500 Value 50 Index Fund</t>
  </si>
  <si>
    <t>ULIF03623/07/25BSEVALUEIN104</t>
  </si>
  <si>
    <t>Money Market or Equivalent</t>
  </si>
  <si>
    <t>MARUTI SUZUKI INDIA LIMITED (SUZUKI CORPORATION LIMITED)</t>
  </si>
  <si>
    <t>INDIA CONSUMPTION OPPORTUNITIES FUND</t>
  </si>
  <si>
    <t>ULIF03807/10/25INDIACONSU104</t>
  </si>
  <si>
    <t>BSE 500 DIVIDEND LEADERS 50 INDEX FUND</t>
  </si>
  <si>
    <t>ULIF03907/11/25BSEDIVLEAD104</t>
  </si>
  <si>
    <t>HIGH GROWTH PENSION FUND</t>
  </si>
  <si>
    <t>ULIF03722/09/25PENSHIGHGR104</t>
  </si>
  <si>
    <t xml:space="preserve">BSE 500 Dividend Leaders 50 Index Pension Fund </t>
  </si>
  <si>
    <t>ULIF04017/11/25PENDIVLEAD104</t>
  </si>
  <si>
    <t>BSE 500 DIVIDEND LEADERS 50 INDEX PENSION FUND</t>
  </si>
  <si>
    <t xml:space="preserve">High Growth Fund II </t>
  </si>
  <si>
    <t xml:space="preserve">Growth Super Fund II </t>
  </si>
  <si>
    <t xml:space="preserve">Diversified Equity Fund II </t>
  </si>
  <si>
    <t>BSE LIMITED</t>
  </si>
  <si>
    <t>INDUS TOWERS LIMITED</t>
  </si>
  <si>
    <t>AU SMALL FINANCE BANK LIMITED</t>
  </si>
  <si>
    <t>CUMMINS INDIA LIMITED</t>
  </si>
  <si>
    <t>KARUR VYSYA BANK LIMITED</t>
  </si>
  <si>
    <t>THE FEDERAL BANK  LIMITED</t>
  </si>
  <si>
    <t>KOTAK MAHINDRA BANK LIMITED</t>
  </si>
  <si>
    <t>TOP 10 GOVERNMENT SECURITIES IN THE FUND</t>
  </si>
  <si>
    <t>6.90 GOI 15 APRIL 2065</t>
  </si>
  <si>
    <t>7.09 GOI 25 NOVEMBER 2074</t>
  </si>
  <si>
    <t>7.46 GOI 06 NOVEMBER 2073</t>
  </si>
  <si>
    <t>6.48 GOI 06 OCT 35</t>
  </si>
  <si>
    <t>6.79 SGB 02 DECEMBER 2034</t>
  </si>
  <si>
    <t>6.01 GOI 21 JULY 2030</t>
  </si>
  <si>
    <t>6.8 GOI 15 DEC 2060</t>
  </si>
  <si>
    <t>7.30 GOI 19 JUNE 2053</t>
  </si>
  <si>
    <t>TOP 10 BONDS IN THE FUND</t>
  </si>
  <si>
    <t>7.80 YES BANK  29 SEP 2027</t>
  </si>
  <si>
    <t>7.08 POWER GRID CORPORATION 25 OCTOBER 2034</t>
  </si>
  <si>
    <t>7.35 NATIONAL HOUSING BANK 02 JAN 2032</t>
  </si>
  <si>
    <t>6.84 NATIONAL THERMAL POWER CORPORATION 09 MAY 2035</t>
  </si>
  <si>
    <t>7.74 INDIAN RAILWAY FINANCE CORP LTD 15 APRIL 2038</t>
  </si>
  <si>
    <t>7.65 INDIAN RAILWAY FINANCE CORP LTD 30 DECEMBER 2032</t>
  </si>
  <si>
    <t>6.85 NABARD 19 JAN 2029</t>
  </si>
  <si>
    <t>7.50 POWERGRID CORPORATION 24 AUGUST 2033</t>
  </si>
  <si>
    <t>9.05 CHOLAMANDALAM INVESTMENT &amp; FINANCE COMPANY LIMITED 24 M</t>
  </si>
  <si>
    <t>7.15 INDIAN RAILWAY FINANCE CORP LTD 14 NOVEMBER 2039</t>
  </si>
  <si>
    <t>NTPC LIMITED</t>
  </si>
  <si>
    <t>AXIS BANK LIMITED</t>
  </si>
  <si>
    <t>8.17 GOI 01 DEC  2044</t>
  </si>
  <si>
    <t>7.43 ANDHRA PRADESH SDL 05 JUNE 2042</t>
  </si>
  <si>
    <t>7.54 GOI 23 MAY 2036</t>
  </si>
  <si>
    <t>6.95 GOI 16 DEC 2061</t>
  </si>
  <si>
    <t>7.12 POWER GRID CORPORATION 24 DECEMBER 2034</t>
  </si>
  <si>
    <t xml:space="preserve">8.09 RURAL ELECTRIFICATION CORPORATION LIMITED 21 MAR 2028 </t>
  </si>
  <si>
    <t>7.37 NABARD 28 MAY 2035</t>
  </si>
  <si>
    <t>6.8 SBI 21 AUG 2035 TIER-2 (CALL DATE 21 AUG 2030)</t>
  </si>
  <si>
    <t>7.85 INDIAN RAILWAY FINANCE CORPORATION 01 JUL 2034</t>
  </si>
  <si>
    <t>MAX HEALTHCARE INSTITUTE LTD</t>
  </si>
  <si>
    <t>TITAN COMPANY LIMITED</t>
  </si>
  <si>
    <t>FORTIS HEALTHCARE LIMITED</t>
  </si>
  <si>
    <t>LUPIN LIMITED</t>
  </si>
  <si>
    <t>ULIF04117/12/25HIGHGROWTH104</t>
  </si>
  <si>
    <t>ULIF04217/12/25GROWTHSUPR104</t>
  </si>
  <si>
    <t>ULIF04317/12/25DIVIEQUITY104</t>
  </si>
  <si>
    <t>One 97 Communications Limited</t>
  </si>
  <si>
    <t>7.43 GOI 19 JAN 2076</t>
  </si>
  <si>
    <t>7.72 MADHYA PRADESH SDL 18 FEB 2049</t>
  </si>
  <si>
    <t>7.84 TELANGANA SDL 11 FEB 2047</t>
  </si>
  <si>
    <t>7.01 NABARD 16 MAR 2029</t>
  </si>
  <si>
    <t>7.72 MADHYA PRADESH SDL 18 FEB 2045</t>
  </si>
  <si>
    <t>7.40 GOI 19 SEPTEMBER 2062</t>
  </si>
  <si>
    <t>6.28 GOI 14 JULY 2032</t>
  </si>
  <si>
    <t>7.88 GOI 19 MAR 2030</t>
  </si>
  <si>
    <t>7.65 POWER FINANCE CORPORATION 13 NOVEMBER 2037</t>
  </si>
  <si>
    <t>7.8 YES BANK  01 OCT 2027</t>
  </si>
  <si>
    <t>8.58 HUDCO (GOI SERVICED) 14 February 2029</t>
  </si>
  <si>
    <t>8.30 GOI 02 JUL 2040</t>
  </si>
  <si>
    <t>7.73 HARYANA SDL 18 FEB 2045</t>
  </si>
  <si>
    <t>8.83 GOI 12 DEC 2041</t>
  </si>
  <si>
    <t>7.89 BAJAJ HOUSING FINANCE LIMITED 14 JULY 2034</t>
  </si>
  <si>
    <t>7.72 BAJAJ FINANCE LIMITED 23 MAY 2033</t>
  </si>
  <si>
    <t>7.64 POWER FINANCE CORP 22 FEB 2033 (PUT OPTION 21.02.26)</t>
  </si>
  <si>
    <t>8.65 INDIA INFRADEBT LIMITED 22 MAR 2026</t>
  </si>
  <si>
    <t>ETERNAL LIMITED</t>
  </si>
  <si>
    <t>DIVIS LABORATORIES LIMITED</t>
  </si>
  <si>
    <t>7.29 SGB 27 JANUARY 2033</t>
  </si>
  <si>
    <t>7.29 TELANGANA SDL 07 August 2040</t>
  </si>
  <si>
    <t>7.45 ALTIUS TELE INFRA 20 APR 2035 (Step up &amp; Step down)</t>
  </si>
  <si>
    <t>6.75 PIRAMAL CAPITAL &amp; HOUSING FINANCE LIMIT</t>
  </si>
  <si>
    <t>7.34 ANDHRA PRADESH SDL 31 JULY 2044</t>
  </si>
  <si>
    <t>8.50 CHOLAMANDALAM INVESTMENT &amp; FIN CO LTD 27 MARCH 2026</t>
  </si>
  <si>
    <t>8.17 GOI 01 DEC 2044</t>
  </si>
  <si>
    <t>7.25 GOI 12 JUNE 2063</t>
  </si>
  <si>
    <t>7.73 GOI 19 DEC  2034</t>
  </si>
  <si>
    <t>7.43 NABFID 04 JULY 2034 (Put option)</t>
  </si>
  <si>
    <t>7.75 INDIAN RAILWAY FINANCE CORP LTD 15 APRIL 2033</t>
  </si>
  <si>
    <t>8.24 GOI 15 FEB 2027</t>
  </si>
  <si>
    <t>BHARAT ELECTRONICS LIMITED</t>
  </si>
  <si>
    <t>ICICI PRUDENTIAL BANKING ETF</t>
  </si>
  <si>
    <t>ULTRATECH CEMENT LIMITED</t>
  </si>
  <si>
    <t>JINDAL STEEL &amp; POWER LIMITED</t>
  </si>
  <si>
    <t>MEDPLUS HEALTH SERVICES LTD</t>
  </si>
  <si>
    <t>BRITANNIA INDUSTRIES LIMITED</t>
  </si>
  <si>
    <t>7.83 GUJARAT SDL 13 JUL 2026</t>
  </si>
  <si>
    <t>7.80 GUJARAT SDL 27 DEC 2027</t>
  </si>
  <si>
    <t>7.25 MAHARASHTRA SDL 28 DEC 2026</t>
  </si>
  <si>
    <t>7.38 GOI 20 JUNE 2027</t>
  </si>
  <si>
    <t>6.65 FOOD CORPORATION OF INDIA GOVT GUARANTEED 23 OCT 2030</t>
  </si>
  <si>
    <t>7.66 POWER FINANCE CORP 15 APRIL 2033 (PUT OPTION 15.04.26)</t>
  </si>
  <si>
    <t>7.23 SBI BANK INFRA 19 NOV 2039</t>
  </si>
  <si>
    <t>COMPUTER AGE MANAGEMENT SERVICES LIMITED</t>
  </si>
  <si>
    <t>CENTRAL DEPOSITORY SERVICES (INDIA) LIMITED</t>
  </si>
  <si>
    <t>INDIAN ENERGY EXCHANGE LIMITED</t>
  </si>
  <si>
    <t>CASTROL INDIA LIMITED</t>
  </si>
  <si>
    <t>J B CHEMICALS &amp; PHARMACEUTICALS LTD</t>
  </si>
  <si>
    <t>MOTHERSON SUMI WIRING INDIA LIMITED</t>
  </si>
  <si>
    <t>ANGEL ONE LIMITED</t>
  </si>
  <si>
    <t>Gillette India Ltd</t>
  </si>
  <si>
    <t>EMAMI LTD</t>
  </si>
  <si>
    <t>HERO MOTOCORP LIMITED</t>
  </si>
  <si>
    <t>ASHOK LEYLAND LIMITED</t>
  </si>
  <si>
    <t>THE FEDERAL BANK LIMITED</t>
  </si>
  <si>
    <t>GE VERNOVA T&amp;D INDIA LTD</t>
  </si>
  <si>
    <t>FSN E-COMMERCE VENTURE LTD</t>
  </si>
  <si>
    <t>HITACHI ENERGY INDIA LTD (Formerly ABB Power Products)</t>
  </si>
  <si>
    <t>LAURUS LABS LIMITED</t>
  </si>
  <si>
    <t>NAVIN FLUORINE INTERNATIONAL LIMITED</t>
  </si>
  <si>
    <t>NARAYANA HRUDAYALAYA LIMITED</t>
  </si>
  <si>
    <t>EICHER MOTORS LIMITED</t>
  </si>
  <si>
    <t>TVS MOTOR COMPANY LIMITED</t>
  </si>
  <si>
    <t>REDINGTON INDIA LIMITED</t>
  </si>
  <si>
    <t>L&amp;T FINANCE LIMITED (Formerly L&amp;T Finance holding)</t>
  </si>
  <si>
    <t>HINDALCO INDUSTRIES LIMITED</t>
  </si>
  <si>
    <t>ASIAN PAINTS (INDIA) LIMITED</t>
  </si>
  <si>
    <t>SHRIRAM FINANCE LIMITED</t>
  </si>
  <si>
    <t>INTERGLOBE AVIATION LTD</t>
  </si>
  <si>
    <t>NESTLE INDIA LIMITED</t>
  </si>
  <si>
    <t>MULTI COMMODITY EXCHANGE OF INDIA LIMITED</t>
  </si>
  <si>
    <t>BANK OF MAHARASHTRA</t>
  </si>
  <si>
    <t>INDIAN BANK</t>
  </si>
  <si>
    <t>BANK OF INDIA</t>
  </si>
  <si>
    <t>ABB INDIA LIMITED</t>
  </si>
  <si>
    <t>SCHAEFFLER INDIA LIMITED</t>
  </si>
  <si>
    <t>POLYCAB INDIA LIMITED</t>
  </si>
  <si>
    <t>JINDAL SAW LTD</t>
  </si>
  <si>
    <t>SIEMENS LIMITED</t>
  </si>
  <si>
    <t>PUNJAB NATIONAL BANK LIMITED</t>
  </si>
  <si>
    <t>TUBE INVESTMENTS OF INDIA LIMITED</t>
  </si>
  <si>
    <t>AUROBINDO PHARMA LIMITED</t>
  </si>
  <si>
    <t>ANTHEM BIOSCIENCES LTD</t>
  </si>
  <si>
    <t>VOLTAMP TRANSFORMERS LTD</t>
  </si>
  <si>
    <t>364 DAYS TBILL 19 MARCH 2026</t>
  </si>
  <si>
    <t>364 DAYS TBILL 01 MAY 2026</t>
  </si>
  <si>
    <t>364 DAYS TBILL 02 APRIL 2026</t>
  </si>
  <si>
    <t>364 DAYS TBILL 05 MARCH 2026</t>
  </si>
  <si>
    <t>364 DAYS TBILL 15 JAN 2027</t>
  </si>
  <si>
    <t>364 DAYS TBILL 16 JULY 2026</t>
  </si>
  <si>
    <t>364 DAYS TBILL 12 MARCH 2026</t>
  </si>
  <si>
    <t>364 DAYS TBILL 07 JAN 2027</t>
  </si>
  <si>
    <t>364 DAYS TBILL 10 APRIL 2026</t>
  </si>
  <si>
    <t>364 DAYS TBILL 10 DEC 2026</t>
  </si>
  <si>
    <t>SBI NIFTY BANK ETF</t>
  </si>
  <si>
    <t>KOTAK MAHINDRA MF - KOTAK BANKING ETF - DIVIDEND PAYOUT OPTI</t>
  </si>
  <si>
    <t>6.19 GOI 16 SEP 2034</t>
  </si>
  <si>
    <t xml:space="preserve">8.06 RURAL ELECTRIFICATION CORPORATION LIMITED 27 MAR 2028 </t>
  </si>
  <si>
    <t>6.85 INDIAN RAILWAY FINANCE CORP LTD 29 OCT 2040</t>
  </si>
  <si>
    <t>7.26 Maharashtra SDL 07 AUGUST 2049</t>
  </si>
  <si>
    <t>7.65 KARNATAKA SDL 29 NOV 2027</t>
  </si>
  <si>
    <t>7.44 NATIONAL THERMAL POWER CORPORATION 25 AUGUST 2032</t>
  </si>
  <si>
    <t>9 SHRIRAM TRANSPORT FINANCE CO. LIMITED 28 MAR 2028</t>
  </si>
  <si>
    <t>SUN PHARMACEUTICAL INDUSTRIES LIMITED</t>
  </si>
  <si>
    <t>7.76 MADHYA PRADESH SDL 29 NOVEMBER 2037</t>
  </si>
  <si>
    <t>8.00 OIL MARKETING BOND GOI 23 MAR 2026</t>
  </si>
  <si>
    <t>8.70 RURAL ELECTRIFICATION CORPORATION LIMITED GOI SERVICE B</t>
  </si>
  <si>
    <t>8.35 INDIAN RAILWAY FINANCE CORP LTD 13 MARCH 2029</t>
  </si>
  <si>
    <t>7.70 BAJAJ FINANCE LIMITED 07 JUNE 2027</t>
  </si>
  <si>
    <t>7.40 NABARD 29 APRIL 2030</t>
  </si>
  <si>
    <t>8.51 MAHARASTRA SDL 09 MAR 2026</t>
  </si>
  <si>
    <t>8.37 HUDCO (GOI SERVICED) 25 MARCH 2029</t>
  </si>
  <si>
    <t>6.94 NATIONAL HIGHWAYS AUTHORITY OF INDIA 30 DEC 2036</t>
  </si>
  <si>
    <t>7.50 NABARD (GOI SERVICED) 17 NOV 2034</t>
  </si>
  <si>
    <t>9.25% SK FINANCE 08 NOVEMBER 2026 (Step up)</t>
  </si>
  <si>
    <t>8.13 KERALA SDL 21 MAR 2028</t>
  </si>
  <si>
    <t>7.62 GOI 15 SEP 2039</t>
  </si>
  <si>
    <t>7.64 INDIAN RAILWAY FINANCE CORP LTD 28 NOVEMBER 2037</t>
  </si>
  <si>
    <t>364 DAYS TBILL 16 APRIL 2026</t>
  </si>
  <si>
    <t>364 DAYS TBILL 21 MAY 2026</t>
  </si>
  <si>
    <t>364 DAYS TBILL 08 OCT 2026</t>
  </si>
  <si>
    <t>364 DAYS TBILL 20 AUG 2026</t>
  </si>
  <si>
    <t>364 DAYS TBILL 15 OCT 2026</t>
  </si>
  <si>
    <t>364 DAYS TBILL 23 OCT 2026</t>
  </si>
  <si>
    <t>8.41 HUDCO (GOI SERVICED) 15 MARCH 2029</t>
  </si>
  <si>
    <t>7.25 INDIAN RAILWAY FINANCE CORP LTD 17 JANUARY 2035</t>
  </si>
  <si>
    <t>8.79 INDIAN RAILWAY FINANCE CORPORATION 04 MAY 2030</t>
  </si>
  <si>
    <t>7.44 INDIAN RAILWAY FINANCE CORP LTD 13 JUNE 2034</t>
  </si>
  <si>
    <t>7.43 NABFID 16 JUNE 2033</t>
  </si>
  <si>
    <t>7.58 NABARD 31 JULY 2026</t>
  </si>
  <si>
    <t>9.47 INDIAN RAILWAY FINANCE CORPORATION 10 MAY 2031</t>
  </si>
  <si>
    <t>8.22 NABARD 25 FEB 2028 - GOI Serviced</t>
  </si>
  <si>
    <t>6.99 GOI 17 APRIL 2026</t>
  </si>
  <si>
    <t>7.29 TELANGANA SDL 07 August 2042</t>
  </si>
  <si>
    <t>9.00 HDFC BANK 29 NOVEMBER 2028 (FORMERLY HDFC LTD)</t>
  </si>
  <si>
    <t>7.59 GOI 20 MAR 2029</t>
  </si>
  <si>
    <t>7.40 GOI 09 SEP 2035</t>
  </si>
  <si>
    <t>7.60 MUTHOOT FINANCE 20 APR 2026</t>
  </si>
  <si>
    <t>COAL INDIA LIMITED</t>
  </si>
  <si>
    <t>OIL &amp; NATURAL GAS CORP LIMITED</t>
  </si>
  <si>
    <t>INDIAN OIL CORPORATION LIMITED</t>
  </si>
  <si>
    <t>UNION BANK OF INDIA</t>
  </si>
  <si>
    <t>CANARA BANK LIMITED</t>
  </si>
  <si>
    <t>ASTER DM HEALTHCARE LTD</t>
  </si>
  <si>
    <t>BANK OF BARODA (DENA &amp; VIJAYA BANK AMALGAMATED)</t>
  </si>
  <si>
    <t>Tata Motors Passenger Vehicles Limited</t>
  </si>
  <si>
    <t>BHARAT PETROLEUM CORPORATION LIMITED</t>
  </si>
  <si>
    <t>POWER FINANCE CORP LIMITED</t>
  </si>
  <si>
    <t>GAIL (INDIA) LIMITED</t>
  </si>
  <si>
    <t>ITC LIMITED</t>
  </si>
  <si>
    <t>HINDUSTAN UNILEVER LIMITED</t>
  </si>
  <si>
    <t>Varun Beverages Limited</t>
  </si>
  <si>
    <t>RURAL ELECTRIFICATION CORPORATION LIMITED</t>
  </si>
  <si>
    <t>VEDANTA LIMITED</t>
  </si>
  <si>
    <t>TATA STEEL LIMITED</t>
  </si>
  <si>
    <t>CG POWER &amp; INDUSTRIAL SOLUTIONS LIMITED</t>
  </si>
  <si>
    <t>HDFC ASSET MANAGEMENT COMPANY LIMITED</t>
  </si>
  <si>
    <t>DIXON TECHNOLOGIES INDIA LIMITED</t>
  </si>
  <si>
    <t xml:space="preserve">BSE 500 Value 50 Index Pension Fund </t>
  </si>
  <si>
    <t>ULIF04408/01/26BSEVALIPEN104</t>
  </si>
  <si>
    <t>BSE 500 VALUE 50 INDEX PENSION FUND</t>
  </si>
  <si>
    <t>ASTRAL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</si>
</sst>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2" fontId="1" fillId="0" borderId="0" xfId="0" applyNumberFormat="1" applyFont="1"/>
    <xf numFmtId="0" fontId="1" fillId="0" borderId="0" xfId="0" applyFont="1" applyAlignment="1">
      <alignment wrapText="1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3DD5C-A796-49ED-BE90-378F8850E9FC}">
  <dimension ref="A1:D950"/>
  <sheetViews>
    <sheetView workbookViewId="0"/>
  </sheetViews>
  <sheetFormatPr defaultRowHeight="15" x14ac:dyDescent="0.25"/>
  <cols>
    <col min="1" max="1" width="48.140625" bestFit="1" customWidth="1"/>
    <col min="2" max="2" width="32.7109375" bestFit="1" customWidth="1"/>
    <col min="4" max="4" width="67.42578125" bestFit="1" customWidth="1"/>
  </cols>
  <sheetData>
    <row r="1" spans="1:4" x14ac:dyDescent="0.25">
      <c r="A1" t="s">
        <v>83</v>
      </c>
      <c r="B1" t="s">
        <v>82</v>
      </c>
      <c r="C1" t="s">
        <v>84</v>
      </c>
      <c r="D1" t="s">
        <v>86</v>
      </c>
    </row>
    <row r="2" spans="1:4" x14ac:dyDescent="0.25">
      <c r="A2" t="s">
        <v>0</v>
      </c>
      <c r="B2" t="s">
        <v>1</v>
      </c>
      <c r="C2" s="2"/>
      <c r="D2" s="4"/>
    </row>
    <row r="3" spans="1:4" x14ac:dyDescent="0.25">
      <c r="A3" t="s">
        <v>0</v>
      </c>
      <c r="B3" t="s">
        <v>1</v>
      </c>
      <c r="C3" s="2"/>
    </row>
    <row r="4" spans="1:4" x14ac:dyDescent="0.25">
      <c r="A4" t="s">
        <v>0</v>
      </c>
      <c r="B4" t="s">
        <v>1</v>
      </c>
      <c r="C4" s="2"/>
    </row>
    <row r="5" spans="1:4" x14ac:dyDescent="0.25">
      <c r="A5" t="s">
        <v>0</v>
      </c>
      <c r="B5" t="s">
        <v>1</v>
      </c>
      <c r="C5" s="2"/>
    </row>
    <row r="6" spans="1:4" x14ac:dyDescent="0.25">
      <c r="A6" t="s">
        <v>0</v>
      </c>
      <c r="B6" t="s">
        <v>1</v>
      </c>
      <c r="C6" s="2"/>
    </row>
    <row r="7" spans="1:4" x14ac:dyDescent="0.25">
      <c r="A7" t="s">
        <v>0</v>
      </c>
      <c r="B7" t="s">
        <v>1</v>
      </c>
      <c r="C7" s="2"/>
    </row>
    <row r="8" spans="1:4" x14ac:dyDescent="0.25">
      <c r="A8" t="s">
        <v>0</v>
      </c>
      <c r="B8" t="s">
        <v>1</v>
      </c>
      <c r="C8" s="2"/>
    </row>
    <row r="9" spans="1:4" x14ac:dyDescent="0.25">
      <c r="A9" t="s">
        <v>0</v>
      </c>
      <c r="B9" t="s">
        <v>1</v>
      </c>
      <c r="C9" s="2"/>
    </row>
    <row r="10" spans="1:4" x14ac:dyDescent="0.25">
      <c r="A10" t="s">
        <v>0</v>
      </c>
      <c r="B10" t="s">
        <v>1</v>
      </c>
      <c r="C10" s="2"/>
    </row>
    <row r="11" spans="1:4" x14ac:dyDescent="0.25">
      <c r="A11" t="s">
        <v>0</v>
      </c>
      <c r="B11" t="s">
        <v>1</v>
      </c>
      <c r="C11" s="2"/>
    </row>
    <row r="12" spans="1:4" x14ac:dyDescent="0.25">
      <c r="A12" t="s">
        <v>0</v>
      </c>
      <c r="B12" t="s">
        <v>1</v>
      </c>
      <c r="C12" s="2"/>
    </row>
    <row r="13" spans="1:4" x14ac:dyDescent="0.25">
      <c r="A13" t="s">
        <v>0</v>
      </c>
      <c r="B13" t="s">
        <v>1</v>
      </c>
      <c r="C13" s="2"/>
      <c r="D13" s="4"/>
    </row>
    <row r="14" spans="1:4" x14ac:dyDescent="0.25">
      <c r="B14" t="s">
        <v>1</v>
      </c>
      <c r="C14" s="2"/>
      <c r="D14" s="4"/>
    </row>
    <row r="16" spans="1:4" x14ac:dyDescent="0.25">
      <c r="A16" t="s">
        <v>9</v>
      </c>
      <c r="B16" t="s">
        <v>10</v>
      </c>
      <c r="C16" s="1"/>
      <c r="D16" s="4"/>
    </row>
    <row r="17" spans="1:4" x14ac:dyDescent="0.25">
      <c r="A17" t="s">
        <v>9</v>
      </c>
      <c r="B17" t="s">
        <v>10</v>
      </c>
      <c r="C17" s="1"/>
    </row>
    <row r="18" spans="1:4" x14ac:dyDescent="0.25">
      <c r="A18" t="s">
        <v>9</v>
      </c>
      <c r="B18" t="s">
        <v>10</v>
      </c>
      <c r="C18" s="1"/>
    </row>
    <row r="19" spans="1:4" x14ac:dyDescent="0.25">
      <c r="A19" t="s">
        <v>9</v>
      </c>
      <c r="B19" t="s">
        <v>10</v>
      </c>
      <c r="C19" s="1"/>
    </row>
    <row r="20" spans="1:4" x14ac:dyDescent="0.25">
      <c r="A20" t="s">
        <v>9</v>
      </c>
      <c r="B20" t="s">
        <v>10</v>
      </c>
      <c r="C20" s="1"/>
    </row>
    <row r="21" spans="1:4" x14ac:dyDescent="0.25">
      <c r="A21" t="s">
        <v>9</v>
      </c>
      <c r="B21" t="s">
        <v>10</v>
      </c>
      <c r="C21" s="1"/>
    </row>
    <row r="22" spans="1:4" x14ac:dyDescent="0.25">
      <c r="A22" t="s">
        <v>9</v>
      </c>
      <c r="B22" t="s">
        <v>10</v>
      </c>
      <c r="C22" s="1"/>
    </row>
    <row r="23" spans="1:4" x14ac:dyDescent="0.25">
      <c r="A23" t="s">
        <v>9</v>
      </c>
      <c r="B23" t="s">
        <v>10</v>
      </c>
      <c r="C23" s="1"/>
    </row>
    <row r="24" spans="1:4" x14ac:dyDescent="0.25">
      <c r="A24" t="s">
        <v>9</v>
      </c>
      <c r="B24" t="s">
        <v>10</v>
      </c>
      <c r="C24" s="1"/>
    </row>
    <row r="25" spans="1:4" x14ac:dyDescent="0.25">
      <c r="A25" t="s">
        <v>9</v>
      </c>
      <c r="B25" t="s">
        <v>10</v>
      </c>
      <c r="C25" s="1"/>
    </row>
    <row r="26" spans="1:4" x14ac:dyDescent="0.25">
      <c r="A26" t="s">
        <v>9</v>
      </c>
      <c r="B26" t="s">
        <v>10</v>
      </c>
      <c r="C26" s="1"/>
    </row>
    <row r="27" spans="1:4" x14ac:dyDescent="0.25">
      <c r="A27" t="s">
        <v>9</v>
      </c>
      <c r="B27" t="s">
        <v>10</v>
      </c>
      <c r="C27" s="1"/>
      <c r="D27" s="4"/>
    </row>
    <row r="28" spans="1:4" x14ac:dyDescent="0.25">
      <c r="B28" t="s">
        <v>10</v>
      </c>
      <c r="C28" s="1"/>
      <c r="D28" s="4"/>
    </row>
    <row r="30" spans="1:4" x14ac:dyDescent="0.25">
      <c r="A30" t="s">
        <v>11</v>
      </c>
      <c r="B30" t="s">
        <v>12</v>
      </c>
      <c r="C30" s="1"/>
      <c r="D30" s="4"/>
    </row>
    <row r="31" spans="1:4" x14ac:dyDescent="0.25">
      <c r="A31" t="s">
        <v>11</v>
      </c>
      <c r="B31" t="s">
        <v>12</v>
      </c>
      <c r="C31" s="1"/>
    </row>
    <row r="32" spans="1:4" x14ac:dyDescent="0.25">
      <c r="A32" t="s">
        <v>11</v>
      </c>
      <c r="B32" t="s">
        <v>12</v>
      </c>
      <c r="C32" s="1"/>
    </row>
    <row r="33" spans="1:4" x14ac:dyDescent="0.25">
      <c r="A33" t="s">
        <v>11</v>
      </c>
      <c r="B33" t="s">
        <v>12</v>
      </c>
      <c r="C33" s="1"/>
    </row>
    <row r="34" spans="1:4" x14ac:dyDescent="0.25">
      <c r="A34" t="s">
        <v>11</v>
      </c>
      <c r="B34" t="s">
        <v>12</v>
      </c>
      <c r="C34" s="1"/>
    </row>
    <row r="35" spans="1:4" x14ac:dyDescent="0.25">
      <c r="A35" t="s">
        <v>11</v>
      </c>
      <c r="B35" t="s">
        <v>12</v>
      </c>
      <c r="C35" s="1"/>
    </row>
    <row r="36" spans="1:4" x14ac:dyDescent="0.25">
      <c r="A36" t="s">
        <v>11</v>
      </c>
      <c r="B36" t="s">
        <v>12</v>
      </c>
      <c r="C36" s="1"/>
    </row>
    <row r="37" spans="1:4" x14ac:dyDescent="0.25">
      <c r="A37" t="s">
        <v>11</v>
      </c>
      <c r="B37" t="s">
        <v>12</v>
      </c>
      <c r="C37" s="1"/>
    </row>
    <row r="38" spans="1:4" x14ac:dyDescent="0.25">
      <c r="A38" t="s">
        <v>11</v>
      </c>
      <c r="B38" t="s">
        <v>12</v>
      </c>
      <c r="C38" s="1"/>
    </row>
    <row r="39" spans="1:4" x14ac:dyDescent="0.25">
      <c r="A39" t="s">
        <v>11</v>
      </c>
      <c r="B39" t="s">
        <v>12</v>
      </c>
      <c r="C39" s="1"/>
    </row>
    <row r="40" spans="1:4" x14ac:dyDescent="0.25">
      <c r="A40" t="s">
        <v>11</v>
      </c>
      <c r="B40" t="s">
        <v>12</v>
      </c>
      <c r="C40" s="1"/>
    </row>
    <row r="41" spans="1:4" x14ac:dyDescent="0.25">
      <c r="A41" t="s">
        <v>11</v>
      </c>
      <c r="B41" t="s">
        <v>12</v>
      </c>
      <c r="C41" s="1"/>
      <c r="D41" s="5"/>
    </row>
    <row r="42" spans="1:4" x14ac:dyDescent="0.25">
      <c r="A42" t="s">
        <v>11</v>
      </c>
      <c r="B42" t="s">
        <v>12</v>
      </c>
      <c r="C42" s="1"/>
      <c r="D42" s="2"/>
    </row>
    <row r="43" spans="1:4" x14ac:dyDescent="0.25">
      <c r="A43" t="s">
        <v>11</v>
      </c>
      <c r="B43" t="s">
        <v>12</v>
      </c>
      <c r="C43" s="1"/>
      <c r="D43" s="2"/>
    </row>
    <row r="44" spans="1:4" x14ac:dyDescent="0.25">
      <c r="A44" t="s">
        <v>11</v>
      </c>
      <c r="B44" t="s">
        <v>12</v>
      </c>
      <c r="C44" s="1"/>
      <c r="D44" s="2"/>
    </row>
    <row r="45" spans="1:4" x14ac:dyDescent="0.25">
      <c r="A45" t="s">
        <v>11</v>
      </c>
      <c r="B45" t="s">
        <v>12</v>
      </c>
      <c r="C45" s="1"/>
      <c r="D45" s="2"/>
    </row>
    <row r="46" spans="1:4" x14ac:dyDescent="0.25">
      <c r="A46" t="s">
        <v>11</v>
      </c>
      <c r="B46" t="s">
        <v>12</v>
      </c>
      <c r="C46" s="1"/>
      <c r="D46" s="2"/>
    </row>
    <row r="47" spans="1:4" x14ac:dyDescent="0.25">
      <c r="A47" t="s">
        <v>11</v>
      </c>
      <c r="B47" t="s">
        <v>12</v>
      </c>
      <c r="C47" s="1"/>
      <c r="D47" s="2"/>
    </row>
    <row r="48" spans="1:4" x14ac:dyDescent="0.25">
      <c r="A48" t="s">
        <v>11</v>
      </c>
      <c r="B48" t="s">
        <v>12</v>
      </c>
      <c r="C48" s="1"/>
      <c r="D48" s="2"/>
    </row>
    <row r="49" spans="1:4" x14ac:dyDescent="0.25">
      <c r="A49" t="s">
        <v>11</v>
      </c>
      <c r="B49" t="s">
        <v>12</v>
      </c>
      <c r="C49" s="1"/>
      <c r="D49" s="2"/>
    </row>
    <row r="50" spans="1:4" x14ac:dyDescent="0.25">
      <c r="A50" t="s">
        <v>11</v>
      </c>
      <c r="B50" t="s">
        <v>12</v>
      </c>
      <c r="C50" s="1"/>
      <c r="D50" s="2"/>
    </row>
    <row r="51" spans="1:4" x14ac:dyDescent="0.25">
      <c r="A51" t="s">
        <v>11</v>
      </c>
      <c r="B51" t="s">
        <v>12</v>
      </c>
      <c r="C51" s="1"/>
      <c r="D51" s="2"/>
    </row>
    <row r="52" spans="1:4" x14ac:dyDescent="0.25">
      <c r="A52" t="s">
        <v>11</v>
      </c>
      <c r="B52" t="s">
        <v>12</v>
      </c>
      <c r="C52" s="1"/>
      <c r="D52" s="4"/>
    </row>
    <row r="53" spans="1:4" x14ac:dyDescent="0.25">
      <c r="A53" t="s">
        <v>11</v>
      </c>
      <c r="B53" t="s">
        <v>12</v>
      </c>
      <c r="C53" s="1"/>
      <c r="D53" s="2"/>
    </row>
    <row r="54" spans="1:4" x14ac:dyDescent="0.25">
      <c r="A54" t="s">
        <v>11</v>
      </c>
      <c r="B54" t="s">
        <v>12</v>
      </c>
      <c r="C54" s="1"/>
      <c r="D54" s="2"/>
    </row>
    <row r="55" spans="1:4" x14ac:dyDescent="0.25">
      <c r="A55" t="s">
        <v>11</v>
      </c>
      <c r="B55" t="s">
        <v>12</v>
      </c>
      <c r="C55" s="1"/>
      <c r="D55" s="2"/>
    </row>
    <row r="56" spans="1:4" x14ac:dyDescent="0.25">
      <c r="A56" t="s">
        <v>11</v>
      </c>
      <c r="B56" t="s">
        <v>12</v>
      </c>
      <c r="C56" s="1"/>
      <c r="D56" s="2"/>
    </row>
    <row r="57" spans="1:4" x14ac:dyDescent="0.25">
      <c r="A57" t="s">
        <v>11</v>
      </c>
      <c r="B57" t="s">
        <v>12</v>
      </c>
      <c r="C57" s="1"/>
      <c r="D57" s="2"/>
    </row>
    <row r="58" spans="1:4" x14ac:dyDescent="0.25">
      <c r="A58" t="s">
        <v>11</v>
      </c>
      <c r="B58" t="s">
        <v>12</v>
      </c>
      <c r="C58" s="1"/>
      <c r="D58" s="2"/>
    </row>
    <row r="59" spans="1:4" x14ac:dyDescent="0.25">
      <c r="A59" t="s">
        <v>11</v>
      </c>
      <c r="B59" t="s">
        <v>12</v>
      </c>
      <c r="C59" s="1"/>
      <c r="D59" s="2"/>
    </row>
    <row r="60" spans="1:4" x14ac:dyDescent="0.25">
      <c r="A60" t="s">
        <v>11</v>
      </c>
      <c r="B60" t="s">
        <v>12</v>
      </c>
      <c r="C60" s="1"/>
      <c r="D60" s="2"/>
    </row>
    <row r="61" spans="1:4" x14ac:dyDescent="0.25">
      <c r="A61" t="s">
        <v>11</v>
      </c>
      <c r="B61" t="s">
        <v>12</v>
      </c>
      <c r="C61" s="1"/>
    </row>
    <row r="62" spans="1:4" x14ac:dyDescent="0.25">
      <c r="A62" t="s">
        <v>11</v>
      </c>
      <c r="B62" t="s">
        <v>12</v>
      </c>
      <c r="C62" s="1"/>
    </row>
    <row r="63" spans="1:4" x14ac:dyDescent="0.25">
      <c r="A63" t="s">
        <v>11</v>
      </c>
      <c r="B63" t="s">
        <v>12</v>
      </c>
      <c r="C63" s="1"/>
      <c r="D63" s="4"/>
    </row>
    <row r="64" spans="1:4" x14ac:dyDescent="0.25">
      <c r="B64" t="s">
        <v>12</v>
      </c>
      <c r="C64" s="1"/>
      <c r="D64" s="4"/>
    </row>
    <row r="65" spans="1:4" x14ac:dyDescent="0.25">
      <c r="C65" s="1"/>
    </row>
    <row r="66" spans="1:4" x14ac:dyDescent="0.25">
      <c r="A66" t="s">
        <v>14</v>
      </c>
      <c r="B66" t="s">
        <v>15</v>
      </c>
      <c r="C66" s="1"/>
      <c r="D66" s="4"/>
    </row>
    <row r="67" spans="1:4" x14ac:dyDescent="0.25">
      <c r="A67" t="s">
        <v>14</v>
      </c>
      <c r="B67" t="s">
        <v>15</v>
      </c>
      <c r="C67" s="1"/>
    </row>
    <row r="68" spans="1:4" x14ac:dyDescent="0.25">
      <c r="A68" t="s">
        <v>14</v>
      </c>
      <c r="B68" t="s">
        <v>15</v>
      </c>
      <c r="C68" s="1"/>
    </row>
    <row r="69" spans="1:4" x14ac:dyDescent="0.25">
      <c r="A69" t="s">
        <v>14</v>
      </c>
      <c r="B69" t="s">
        <v>15</v>
      </c>
      <c r="C69" s="1"/>
    </row>
    <row r="70" spans="1:4" x14ac:dyDescent="0.25">
      <c r="A70" t="s">
        <v>14</v>
      </c>
      <c r="B70" t="s">
        <v>15</v>
      </c>
      <c r="C70" s="1"/>
    </row>
    <row r="71" spans="1:4" x14ac:dyDescent="0.25">
      <c r="A71" t="s">
        <v>14</v>
      </c>
      <c r="B71" t="s">
        <v>15</v>
      </c>
      <c r="C71" s="1"/>
    </row>
    <row r="72" spans="1:4" x14ac:dyDescent="0.25">
      <c r="A72" t="s">
        <v>14</v>
      </c>
      <c r="B72" t="s">
        <v>15</v>
      </c>
      <c r="C72" s="1"/>
    </row>
    <row r="73" spans="1:4" x14ac:dyDescent="0.25">
      <c r="A73" t="s">
        <v>14</v>
      </c>
      <c r="B73" t="s">
        <v>15</v>
      </c>
      <c r="C73" s="1"/>
    </row>
    <row r="74" spans="1:4" x14ac:dyDescent="0.25">
      <c r="A74" t="s">
        <v>14</v>
      </c>
      <c r="B74" t="s">
        <v>15</v>
      </c>
      <c r="C74" s="1"/>
    </row>
    <row r="75" spans="1:4" x14ac:dyDescent="0.25">
      <c r="A75" t="s">
        <v>14</v>
      </c>
      <c r="B75" t="s">
        <v>15</v>
      </c>
      <c r="C75" s="1"/>
    </row>
    <row r="76" spans="1:4" x14ac:dyDescent="0.25">
      <c r="A76" t="s">
        <v>14</v>
      </c>
      <c r="B76" t="s">
        <v>15</v>
      </c>
      <c r="C76" s="1"/>
    </row>
    <row r="77" spans="1:4" x14ac:dyDescent="0.25">
      <c r="A77" t="s">
        <v>14</v>
      </c>
      <c r="B77" t="s">
        <v>15</v>
      </c>
      <c r="C77" s="1"/>
      <c r="D77" s="5"/>
    </row>
    <row r="78" spans="1:4" x14ac:dyDescent="0.25">
      <c r="A78" t="s">
        <v>14</v>
      </c>
      <c r="B78" t="s">
        <v>15</v>
      </c>
      <c r="C78" s="1"/>
      <c r="D78" s="2"/>
    </row>
    <row r="79" spans="1:4" x14ac:dyDescent="0.25">
      <c r="A79" t="s">
        <v>14</v>
      </c>
      <c r="B79" t="s">
        <v>15</v>
      </c>
      <c r="C79" s="1"/>
      <c r="D79" s="2"/>
    </row>
    <row r="80" spans="1:4" x14ac:dyDescent="0.25">
      <c r="A80" t="s">
        <v>14</v>
      </c>
      <c r="B80" t="s">
        <v>15</v>
      </c>
      <c r="C80" s="1"/>
      <c r="D80" s="2"/>
    </row>
    <row r="81" spans="1:4" x14ac:dyDescent="0.25">
      <c r="A81" t="s">
        <v>14</v>
      </c>
      <c r="B81" t="s">
        <v>15</v>
      </c>
      <c r="C81" s="1"/>
      <c r="D81" s="2"/>
    </row>
    <row r="82" spans="1:4" x14ac:dyDescent="0.25">
      <c r="A82" t="s">
        <v>14</v>
      </c>
      <c r="B82" t="s">
        <v>15</v>
      </c>
      <c r="C82" s="1"/>
      <c r="D82" s="2"/>
    </row>
    <row r="83" spans="1:4" x14ac:dyDescent="0.25">
      <c r="A83" t="s">
        <v>14</v>
      </c>
      <c r="B83" t="s">
        <v>15</v>
      </c>
      <c r="C83" s="1"/>
      <c r="D83" s="2"/>
    </row>
    <row r="84" spans="1:4" x14ac:dyDescent="0.25">
      <c r="A84" t="s">
        <v>14</v>
      </c>
      <c r="B84" t="s">
        <v>15</v>
      </c>
      <c r="C84" s="1"/>
      <c r="D84" s="2"/>
    </row>
    <row r="85" spans="1:4" x14ac:dyDescent="0.25">
      <c r="A85" t="s">
        <v>14</v>
      </c>
      <c r="B85" t="s">
        <v>15</v>
      </c>
      <c r="C85" s="1"/>
      <c r="D85" s="2"/>
    </row>
    <row r="86" spans="1:4" x14ac:dyDescent="0.25">
      <c r="A86" t="s">
        <v>14</v>
      </c>
      <c r="B86" t="s">
        <v>15</v>
      </c>
      <c r="C86" s="1"/>
    </row>
    <row r="87" spans="1:4" x14ac:dyDescent="0.25">
      <c r="A87" t="s">
        <v>14</v>
      </c>
      <c r="B87" t="s">
        <v>15</v>
      </c>
      <c r="C87" s="1"/>
      <c r="D87" s="2"/>
    </row>
    <row r="88" spans="1:4" x14ac:dyDescent="0.25">
      <c r="A88" t="s">
        <v>14</v>
      </c>
      <c r="B88" t="s">
        <v>15</v>
      </c>
      <c r="C88" s="1"/>
      <c r="D88" s="5"/>
    </row>
    <row r="89" spans="1:4" x14ac:dyDescent="0.25">
      <c r="A89" t="s">
        <v>14</v>
      </c>
      <c r="B89" t="s">
        <v>15</v>
      </c>
      <c r="C89" s="1"/>
      <c r="D89" s="2"/>
    </row>
    <row r="90" spans="1:4" x14ac:dyDescent="0.25">
      <c r="A90" t="s">
        <v>14</v>
      </c>
      <c r="B90" t="s">
        <v>15</v>
      </c>
      <c r="C90" s="1"/>
      <c r="D90" s="2"/>
    </row>
    <row r="91" spans="1:4" x14ac:dyDescent="0.25">
      <c r="A91" t="s">
        <v>14</v>
      </c>
      <c r="B91" t="s">
        <v>15</v>
      </c>
      <c r="C91" s="1"/>
      <c r="D91" s="2"/>
    </row>
    <row r="92" spans="1:4" x14ac:dyDescent="0.25">
      <c r="A92" t="s">
        <v>14</v>
      </c>
      <c r="B92" t="s">
        <v>15</v>
      </c>
      <c r="C92" s="1"/>
      <c r="D92" s="2"/>
    </row>
    <row r="93" spans="1:4" x14ac:dyDescent="0.25">
      <c r="A93" t="s">
        <v>14</v>
      </c>
      <c r="B93" t="s">
        <v>15</v>
      </c>
      <c r="C93" s="1"/>
      <c r="D93" s="2"/>
    </row>
    <row r="94" spans="1:4" x14ac:dyDescent="0.25">
      <c r="A94" t="s">
        <v>14</v>
      </c>
      <c r="B94" t="s">
        <v>15</v>
      </c>
      <c r="C94" s="1"/>
      <c r="D94" s="2"/>
    </row>
    <row r="95" spans="1:4" x14ac:dyDescent="0.25">
      <c r="A95" t="s">
        <v>14</v>
      </c>
      <c r="B95" t="s">
        <v>15</v>
      </c>
      <c r="C95" s="1"/>
      <c r="D95" s="2"/>
    </row>
    <row r="96" spans="1:4" x14ac:dyDescent="0.25">
      <c r="A96" t="s">
        <v>14</v>
      </c>
      <c r="B96" t="s">
        <v>15</v>
      </c>
      <c r="C96" s="1"/>
    </row>
    <row r="97" spans="1:4" x14ac:dyDescent="0.25">
      <c r="A97" t="s">
        <v>14</v>
      </c>
      <c r="B97" t="s">
        <v>15</v>
      </c>
      <c r="C97" s="1"/>
    </row>
    <row r="98" spans="1:4" x14ac:dyDescent="0.25">
      <c r="A98" t="s">
        <v>14</v>
      </c>
      <c r="B98" t="s">
        <v>15</v>
      </c>
      <c r="C98" s="1"/>
    </row>
    <row r="99" spans="1:4" x14ac:dyDescent="0.25">
      <c r="A99" t="s">
        <v>14</v>
      </c>
      <c r="B99" t="s">
        <v>15</v>
      </c>
      <c r="C99" s="1"/>
      <c r="D99" s="4"/>
    </row>
    <row r="100" spans="1:4" x14ac:dyDescent="0.25">
      <c r="B100" t="s">
        <v>15</v>
      </c>
      <c r="C100" s="1"/>
      <c r="D100" s="4"/>
    </row>
    <row r="101" spans="1:4" x14ac:dyDescent="0.25">
      <c r="C101" s="1"/>
    </row>
    <row r="102" spans="1:4" x14ac:dyDescent="0.25">
      <c r="A102" t="s">
        <v>16</v>
      </c>
      <c r="B102" t="s">
        <v>17</v>
      </c>
      <c r="C102" s="2"/>
      <c r="D102" s="4"/>
    </row>
    <row r="103" spans="1:4" x14ac:dyDescent="0.25">
      <c r="A103" t="s">
        <v>16</v>
      </c>
      <c r="B103" t="s">
        <v>17</v>
      </c>
      <c r="C103" s="2"/>
    </row>
    <row r="104" spans="1:4" x14ac:dyDescent="0.25">
      <c r="A104" t="s">
        <v>16</v>
      </c>
      <c r="B104" t="s">
        <v>17</v>
      </c>
      <c r="C104" s="2"/>
    </row>
    <row r="105" spans="1:4" x14ac:dyDescent="0.25">
      <c r="A105" t="s">
        <v>16</v>
      </c>
      <c r="B105" t="s">
        <v>17</v>
      </c>
      <c r="C105" s="2"/>
    </row>
    <row r="106" spans="1:4" x14ac:dyDescent="0.25">
      <c r="A106" t="s">
        <v>16</v>
      </c>
      <c r="B106" t="s">
        <v>17</v>
      </c>
      <c r="C106" s="2"/>
    </row>
    <row r="107" spans="1:4" x14ac:dyDescent="0.25">
      <c r="A107" t="s">
        <v>16</v>
      </c>
      <c r="B107" t="s">
        <v>17</v>
      </c>
      <c r="C107" s="2"/>
    </row>
    <row r="108" spans="1:4" x14ac:dyDescent="0.25">
      <c r="A108" t="s">
        <v>16</v>
      </c>
      <c r="B108" t="s">
        <v>17</v>
      </c>
      <c r="C108" s="2"/>
    </row>
    <row r="109" spans="1:4" x14ac:dyDescent="0.25">
      <c r="A109" t="s">
        <v>16</v>
      </c>
      <c r="B109" t="s">
        <v>17</v>
      </c>
      <c r="C109" s="2"/>
    </row>
    <row r="110" spans="1:4" x14ac:dyDescent="0.25">
      <c r="A110" t="s">
        <v>16</v>
      </c>
      <c r="B110" t="s">
        <v>17</v>
      </c>
      <c r="C110" s="2"/>
    </row>
    <row r="111" spans="1:4" x14ac:dyDescent="0.25">
      <c r="A111" t="s">
        <v>16</v>
      </c>
      <c r="B111" t="s">
        <v>17</v>
      </c>
      <c r="C111" s="2"/>
    </row>
    <row r="112" spans="1:4" x14ac:dyDescent="0.25">
      <c r="A112" t="s">
        <v>16</v>
      </c>
      <c r="B112" t="s">
        <v>17</v>
      </c>
      <c r="C112" s="2"/>
    </row>
    <row r="113" spans="1:4" x14ac:dyDescent="0.25">
      <c r="A113" t="s">
        <v>16</v>
      </c>
      <c r="B113" t="s">
        <v>17</v>
      </c>
      <c r="C113" s="2"/>
      <c r="D113" s="4"/>
    </row>
    <row r="114" spans="1:4" x14ac:dyDescent="0.25">
      <c r="A114" t="s">
        <v>16</v>
      </c>
      <c r="B114" t="s">
        <v>17</v>
      </c>
      <c r="C114" s="2"/>
      <c r="D114" s="2"/>
    </row>
    <row r="115" spans="1:4" x14ac:dyDescent="0.25">
      <c r="A115" t="s">
        <v>16</v>
      </c>
      <c r="B115" t="s">
        <v>17</v>
      </c>
      <c r="C115" s="2"/>
      <c r="D115" s="2"/>
    </row>
    <row r="116" spans="1:4" x14ac:dyDescent="0.25">
      <c r="A116" t="s">
        <v>16</v>
      </c>
      <c r="B116" t="s">
        <v>17</v>
      </c>
      <c r="C116" s="2"/>
      <c r="D116" s="2"/>
    </row>
    <row r="117" spans="1:4" x14ac:dyDescent="0.25">
      <c r="A117" t="s">
        <v>16</v>
      </c>
      <c r="B117" t="s">
        <v>17</v>
      </c>
      <c r="C117" s="2"/>
      <c r="D117" s="2"/>
    </row>
    <row r="118" spans="1:4" x14ac:dyDescent="0.25">
      <c r="A118" t="s">
        <v>16</v>
      </c>
      <c r="B118" t="s">
        <v>17</v>
      </c>
      <c r="C118" s="2"/>
      <c r="D118" s="2"/>
    </row>
    <row r="119" spans="1:4" x14ac:dyDescent="0.25">
      <c r="A119" t="s">
        <v>16</v>
      </c>
      <c r="B119" t="s">
        <v>17</v>
      </c>
      <c r="C119" s="2"/>
      <c r="D119" s="2"/>
    </row>
    <row r="120" spans="1:4" x14ac:dyDescent="0.25">
      <c r="A120" t="s">
        <v>16</v>
      </c>
      <c r="B120" t="s">
        <v>17</v>
      </c>
      <c r="C120" s="2"/>
      <c r="D120" s="2"/>
    </row>
    <row r="121" spans="1:4" x14ac:dyDescent="0.25">
      <c r="A121" t="s">
        <v>16</v>
      </c>
      <c r="B121" t="s">
        <v>17</v>
      </c>
      <c r="C121" s="2"/>
      <c r="D121" s="2"/>
    </row>
    <row r="122" spans="1:4" x14ac:dyDescent="0.25">
      <c r="A122" t="s">
        <v>16</v>
      </c>
      <c r="B122" t="s">
        <v>17</v>
      </c>
      <c r="C122" s="2"/>
      <c r="D122" s="2"/>
    </row>
    <row r="123" spans="1:4" x14ac:dyDescent="0.25">
      <c r="A123" t="s">
        <v>16</v>
      </c>
      <c r="B123" t="s">
        <v>17</v>
      </c>
      <c r="C123" s="2"/>
    </row>
    <row r="124" spans="1:4" x14ac:dyDescent="0.25">
      <c r="A124" t="s">
        <v>16</v>
      </c>
      <c r="B124" t="s">
        <v>17</v>
      </c>
      <c r="C124" s="2"/>
      <c r="D124" s="4"/>
    </row>
    <row r="125" spans="1:4" x14ac:dyDescent="0.25">
      <c r="A125" t="s">
        <v>16</v>
      </c>
      <c r="B125" t="s">
        <v>17</v>
      </c>
      <c r="C125" s="2"/>
      <c r="D125" s="2"/>
    </row>
    <row r="126" spans="1:4" x14ac:dyDescent="0.25">
      <c r="A126" t="s">
        <v>16</v>
      </c>
      <c r="B126" t="s">
        <v>17</v>
      </c>
      <c r="C126" s="2"/>
      <c r="D126" s="2"/>
    </row>
    <row r="127" spans="1:4" x14ac:dyDescent="0.25">
      <c r="A127" t="s">
        <v>16</v>
      </c>
      <c r="B127" t="s">
        <v>17</v>
      </c>
      <c r="C127" s="2"/>
      <c r="D127" s="2"/>
    </row>
    <row r="128" spans="1:4" x14ac:dyDescent="0.25">
      <c r="A128" t="s">
        <v>16</v>
      </c>
      <c r="B128" t="s">
        <v>17</v>
      </c>
      <c r="C128" s="2"/>
      <c r="D128" s="2"/>
    </row>
    <row r="129" spans="1:4" x14ac:dyDescent="0.25">
      <c r="A129" t="s">
        <v>16</v>
      </c>
      <c r="B129" t="s">
        <v>17</v>
      </c>
      <c r="C129" s="2"/>
      <c r="D129" s="2"/>
    </row>
    <row r="130" spans="1:4" x14ac:dyDescent="0.25">
      <c r="A130" t="s">
        <v>16</v>
      </c>
      <c r="B130" t="s">
        <v>17</v>
      </c>
      <c r="C130" s="2"/>
      <c r="D130" s="2"/>
    </row>
    <row r="131" spans="1:4" x14ac:dyDescent="0.25">
      <c r="A131" t="s">
        <v>16</v>
      </c>
      <c r="B131" t="s">
        <v>17</v>
      </c>
      <c r="C131" s="2"/>
      <c r="D131" s="2"/>
    </row>
    <row r="132" spans="1:4" x14ac:dyDescent="0.25">
      <c r="A132" t="s">
        <v>16</v>
      </c>
      <c r="B132" t="s">
        <v>17</v>
      </c>
      <c r="C132" s="2"/>
      <c r="D132" s="2"/>
    </row>
    <row r="133" spans="1:4" x14ac:dyDescent="0.25">
      <c r="A133" t="s">
        <v>16</v>
      </c>
      <c r="B133" t="s">
        <v>17</v>
      </c>
      <c r="C133" s="2"/>
      <c r="D133" s="2"/>
    </row>
    <row r="134" spans="1:4" x14ac:dyDescent="0.25">
      <c r="A134" t="s">
        <v>16</v>
      </c>
      <c r="B134" t="s">
        <v>17</v>
      </c>
      <c r="C134" s="2"/>
      <c r="D134" s="2"/>
    </row>
    <row r="135" spans="1:4" x14ac:dyDescent="0.25">
      <c r="A135" t="s">
        <v>16</v>
      </c>
      <c r="B135" t="s">
        <v>17</v>
      </c>
      <c r="C135" s="2"/>
      <c r="D135" s="4"/>
    </row>
    <row r="136" spans="1:4" x14ac:dyDescent="0.25">
      <c r="B136" t="s">
        <v>17</v>
      </c>
      <c r="C136" s="2"/>
      <c r="D136" s="4"/>
    </row>
    <row r="138" spans="1:4" x14ac:dyDescent="0.25">
      <c r="A138" t="s">
        <v>18</v>
      </c>
      <c r="B138" t="s">
        <v>19</v>
      </c>
      <c r="C138" s="1"/>
      <c r="D138" s="4"/>
    </row>
    <row r="139" spans="1:4" x14ac:dyDescent="0.25">
      <c r="A139" t="s">
        <v>18</v>
      </c>
      <c r="B139" t="s">
        <v>19</v>
      </c>
      <c r="C139" s="1"/>
      <c r="D139" s="2"/>
    </row>
    <row r="140" spans="1:4" x14ac:dyDescent="0.25">
      <c r="A140" t="s">
        <v>18</v>
      </c>
      <c r="B140" t="s">
        <v>19</v>
      </c>
      <c r="C140" s="1"/>
      <c r="D140" s="2"/>
    </row>
    <row r="141" spans="1:4" x14ac:dyDescent="0.25">
      <c r="A141" t="s">
        <v>18</v>
      </c>
      <c r="B141" t="s">
        <v>19</v>
      </c>
      <c r="C141" s="1"/>
      <c r="D141" s="2"/>
    </row>
    <row r="142" spans="1:4" x14ac:dyDescent="0.25">
      <c r="A142" t="s">
        <v>18</v>
      </c>
      <c r="B142" t="s">
        <v>19</v>
      </c>
      <c r="C142" s="1"/>
      <c r="D142" s="2"/>
    </row>
    <row r="143" spans="1:4" x14ac:dyDescent="0.25">
      <c r="A143" t="s">
        <v>18</v>
      </c>
      <c r="B143" t="s">
        <v>19</v>
      </c>
      <c r="C143" s="1"/>
      <c r="D143" s="2"/>
    </row>
    <row r="144" spans="1:4" x14ac:dyDescent="0.25">
      <c r="A144" t="s">
        <v>18</v>
      </c>
      <c r="B144" t="s">
        <v>19</v>
      </c>
      <c r="C144" s="1"/>
      <c r="D144" s="2"/>
    </row>
    <row r="145" spans="1:4" x14ac:dyDescent="0.25">
      <c r="A145" t="s">
        <v>18</v>
      </c>
      <c r="B145" t="s">
        <v>19</v>
      </c>
      <c r="C145" s="1"/>
      <c r="D145" s="2"/>
    </row>
    <row r="146" spans="1:4" x14ac:dyDescent="0.25">
      <c r="A146" t="s">
        <v>18</v>
      </c>
      <c r="B146" t="s">
        <v>19</v>
      </c>
      <c r="C146" s="1"/>
      <c r="D146" s="2"/>
    </row>
    <row r="147" spans="1:4" x14ac:dyDescent="0.25">
      <c r="A147" t="s">
        <v>18</v>
      </c>
      <c r="B147" t="s">
        <v>19</v>
      </c>
      <c r="C147" s="1"/>
      <c r="D147" s="2"/>
    </row>
    <row r="148" spans="1:4" x14ac:dyDescent="0.25">
      <c r="A148" t="s">
        <v>18</v>
      </c>
      <c r="B148" t="s">
        <v>19</v>
      </c>
      <c r="C148" s="1"/>
      <c r="D148" s="2"/>
    </row>
    <row r="149" spans="1:4" x14ac:dyDescent="0.25">
      <c r="A149" t="s">
        <v>18</v>
      </c>
      <c r="B149" t="s">
        <v>19</v>
      </c>
      <c r="C149" s="1"/>
      <c r="D149" s="5"/>
    </row>
    <row r="150" spans="1:4" x14ac:dyDescent="0.25">
      <c r="A150" t="s">
        <v>18</v>
      </c>
      <c r="B150" t="s">
        <v>19</v>
      </c>
      <c r="C150" s="1"/>
      <c r="D150" s="2"/>
    </row>
    <row r="151" spans="1:4" x14ac:dyDescent="0.25">
      <c r="A151" t="s">
        <v>18</v>
      </c>
      <c r="B151" t="s">
        <v>19</v>
      </c>
      <c r="C151" s="1"/>
      <c r="D151" s="2"/>
    </row>
    <row r="152" spans="1:4" x14ac:dyDescent="0.25">
      <c r="A152" t="s">
        <v>18</v>
      </c>
      <c r="B152" t="s">
        <v>19</v>
      </c>
      <c r="C152" s="1"/>
      <c r="D152" s="2"/>
    </row>
    <row r="153" spans="1:4" x14ac:dyDescent="0.25">
      <c r="A153" t="s">
        <v>18</v>
      </c>
      <c r="B153" t="s">
        <v>19</v>
      </c>
      <c r="C153" s="1"/>
      <c r="D153" s="2"/>
    </row>
    <row r="154" spans="1:4" x14ac:dyDescent="0.25">
      <c r="A154" t="s">
        <v>18</v>
      </c>
      <c r="B154" t="s">
        <v>19</v>
      </c>
      <c r="C154" s="1"/>
      <c r="D154" s="2"/>
    </row>
    <row r="155" spans="1:4" x14ac:dyDescent="0.25">
      <c r="A155" t="s">
        <v>18</v>
      </c>
      <c r="B155" t="s">
        <v>19</v>
      </c>
      <c r="C155" s="1"/>
      <c r="D155" s="2"/>
    </row>
    <row r="156" spans="1:4" x14ac:dyDescent="0.25">
      <c r="A156" t="s">
        <v>18</v>
      </c>
      <c r="B156" t="s">
        <v>19</v>
      </c>
      <c r="C156" s="1"/>
      <c r="D156" s="2"/>
    </row>
    <row r="157" spans="1:4" x14ac:dyDescent="0.25">
      <c r="A157" t="s">
        <v>18</v>
      </c>
      <c r="B157" t="s">
        <v>19</v>
      </c>
      <c r="C157" s="1"/>
      <c r="D157" s="2"/>
    </row>
    <row r="158" spans="1:4" x14ac:dyDescent="0.25">
      <c r="A158" t="s">
        <v>18</v>
      </c>
      <c r="B158" t="s">
        <v>19</v>
      </c>
      <c r="C158" s="1"/>
      <c r="D158" s="2"/>
    </row>
    <row r="159" spans="1:4" x14ac:dyDescent="0.25">
      <c r="A159" t="s">
        <v>18</v>
      </c>
      <c r="B159" t="s">
        <v>19</v>
      </c>
      <c r="C159" s="1"/>
      <c r="D159" s="2"/>
    </row>
    <row r="160" spans="1:4" x14ac:dyDescent="0.25">
      <c r="A160" t="s">
        <v>18</v>
      </c>
      <c r="B160" t="s">
        <v>19</v>
      </c>
      <c r="C160" s="1"/>
      <c r="D160" s="4"/>
    </row>
    <row r="161" spans="1:4" x14ac:dyDescent="0.25">
      <c r="B161" t="s">
        <v>19</v>
      </c>
      <c r="C161" s="1"/>
      <c r="D161" s="4"/>
    </row>
    <row r="162" spans="1:4" x14ac:dyDescent="0.25">
      <c r="C162" s="2"/>
    </row>
    <row r="163" spans="1:4" x14ac:dyDescent="0.25">
      <c r="A163" t="s">
        <v>20</v>
      </c>
      <c r="B163" t="s">
        <v>21</v>
      </c>
      <c r="C163" s="2"/>
      <c r="D163" s="4"/>
    </row>
    <row r="164" spans="1:4" x14ac:dyDescent="0.25">
      <c r="A164" t="s">
        <v>20</v>
      </c>
      <c r="B164" t="s">
        <v>21</v>
      </c>
      <c r="C164" s="2"/>
    </row>
    <row r="165" spans="1:4" x14ac:dyDescent="0.25">
      <c r="A165" t="s">
        <v>20</v>
      </c>
      <c r="B165" t="s">
        <v>21</v>
      </c>
      <c r="C165" s="2"/>
    </row>
    <row r="166" spans="1:4" x14ac:dyDescent="0.25">
      <c r="A166" t="s">
        <v>20</v>
      </c>
      <c r="B166" t="s">
        <v>21</v>
      </c>
      <c r="C166" s="2"/>
    </row>
    <row r="167" spans="1:4" x14ac:dyDescent="0.25">
      <c r="A167" t="s">
        <v>20</v>
      </c>
      <c r="B167" t="s">
        <v>21</v>
      </c>
      <c r="C167" s="2"/>
    </row>
    <row r="168" spans="1:4" x14ac:dyDescent="0.25">
      <c r="A168" t="s">
        <v>20</v>
      </c>
      <c r="B168" t="s">
        <v>21</v>
      </c>
      <c r="C168" s="2"/>
    </row>
    <row r="169" spans="1:4" x14ac:dyDescent="0.25">
      <c r="A169" t="s">
        <v>20</v>
      </c>
      <c r="B169" t="s">
        <v>21</v>
      </c>
      <c r="C169" s="2"/>
    </row>
    <row r="170" spans="1:4" x14ac:dyDescent="0.25">
      <c r="A170" t="s">
        <v>20</v>
      </c>
      <c r="B170" t="s">
        <v>21</v>
      </c>
      <c r="C170" s="2"/>
    </row>
    <row r="171" spans="1:4" x14ac:dyDescent="0.25">
      <c r="A171" t="s">
        <v>20</v>
      </c>
      <c r="B171" t="s">
        <v>21</v>
      </c>
      <c r="C171" s="2"/>
    </row>
    <row r="172" spans="1:4" x14ac:dyDescent="0.25">
      <c r="A172" t="s">
        <v>20</v>
      </c>
      <c r="B172" t="s">
        <v>21</v>
      </c>
      <c r="C172" s="2"/>
    </row>
    <row r="173" spans="1:4" x14ac:dyDescent="0.25">
      <c r="A173" t="s">
        <v>20</v>
      </c>
      <c r="B173" t="s">
        <v>21</v>
      </c>
      <c r="C173" s="2"/>
    </row>
    <row r="174" spans="1:4" x14ac:dyDescent="0.25">
      <c r="A174" t="s">
        <v>20</v>
      </c>
      <c r="B174" t="s">
        <v>21</v>
      </c>
      <c r="C174" s="2"/>
      <c r="D174" s="4"/>
    </row>
    <row r="175" spans="1:4" x14ac:dyDescent="0.25">
      <c r="A175" t="s">
        <v>20</v>
      </c>
      <c r="B175" t="s">
        <v>21</v>
      </c>
      <c r="C175" s="2"/>
      <c r="D175" s="2"/>
    </row>
    <row r="176" spans="1:4" x14ac:dyDescent="0.25">
      <c r="A176" t="s">
        <v>20</v>
      </c>
      <c r="B176" t="s">
        <v>21</v>
      </c>
      <c r="C176" s="2"/>
      <c r="D176" s="2"/>
    </row>
    <row r="177" spans="1:4" x14ac:dyDescent="0.25">
      <c r="A177" t="s">
        <v>20</v>
      </c>
      <c r="B177" t="s">
        <v>21</v>
      </c>
      <c r="C177" s="2"/>
      <c r="D177" s="2"/>
    </row>
    <row r="178" spans="1:4" x14ac:dyDescent="0.25">
      <c r="A178" t="s">
        <v>20</v>
      </c>
      <c r="B178" t="s">
        <v>21</v>
      </c>
      <c r="C178" s="2"/>
      <c r="D178" s="2"/>
    </row>
    <row r="179" spans="1:4" x14ac:dyDescent="0.25">
      <c r="A179" t="s">
        <v>20</v>
      </c>
      <c r="B179" t="s">
        <v>21</v>
      </c>
      <c r="C179" s="2"/>
      <c r="D179" s="2"/>
    </row>
    <row r="180" spans="1:4" x14ac:dyDescent="0.25">
      <c r="A180" t="s">
        <v>20</v>
      </c>
      <c r="B180" t="s">
        <v>21</v>
      </c>
      <c r="C180" s="2"/>
      <c r="D180" s="2"/>
    </row>
    <row r="181" spans="1:4" x14ac:dyDescent="0.25">
      <c r="A181" t="s">
        <v>20</v>
      </c>
      <c r="B181" t="s">
        <v>21</v>
      </c>
      <c r="C181" s="2"/>
      <c r="D181" s="2"/>
    </row>
    <row r="182" spans="1:4" x14ac:dyDescent="0.25">
      <c r="A182" t="s">
        <v>20</v>
      </c>
      <c r="B182" t="s">
        <v>21</v>
      </c>
      <c r="C182" s="2"/>
      <c r="D182" s="2"/>
    </row>
    <row r="183" spans="1:4" x14ac:dyDescent="0.25">
      <c r="A183" t="s">
        <v>20</v>
      </c>
      <c r="B183" t="s">
        <v>21</v>
      </c>
      <c r="C183" s="2"/>
      <c r="D183" s="2"/>
    </row>
    <row r="184" spans="1:4" x14ac:dyDescent="0.25">
      <c r="A184" t="s">
        <v>20</v>
      </c>
      <c r="B184" t="s">
        <v>21</v>
      </c>
      <c r="C184" s="2"/>
      <c r="D184" s="2"/>
    </row>
    <row r="185" spans="1:4" x14ac:dyDescent="0.25">
      <c r="A185" t="s">
        <v>20</v>
      </c>
      <c r="B185" t="s">
        <v>21</v>
      </c>
      <c r="C185" s="2"/>
      <c r="D185" s="4"/>
    </row>
    <row r="186" spans="1:4" x14ac:dyDescent="0.25">
      <c r="A186" t="s">
        <v>20</v>
      </c>
      <c r="B186" t="s">
        <v>21</v>
      </c>
      <c r="C186" s="2"/>
      <c r="D186" s="2"/>
    </row>
    <row r="187" spans="1:4" x14ac:dyDescent="0.25">
      <c r="A187" t="s">
        <v>20</v>
      </c>
      <c r="B187" t="s">
        <v>21</v>
      </c>
      <c r="C187" s="2"/>
      <c r="D187" s="2"/>
    </row>
    <row r="188" spans="1:4" x14ac:dyDescent="0.25">
      <c r="A188" t="s">
        <v>20</v>
      </c>
      <c r="B188" t="s">
        <v>21</v>
      </c>
      <c r="C188" s="2"/>
      <c r="D188" s="2"/>
    </row>
    <row r="189" spans="1:4" x14ac:dyDescent="0.25">
      <c r="A189" t="s">
        <v>20</v>
      </c>
      <c r="B189" t="s">
        <v>21</v>
      </c>
      <c r="C189" s="2"/>
      <c r="D189" s="2"/>
    </row>
    <row r="190" spans="1:4" x14ac:dyDescent="0.25">
      <c r="A190" t="s">
        <v>20</v>
      </c>
      <c r="B190" t="s">
        <v>21</v>
      </c>
      <c r="C190" s="2"/>
      <c r="D190" s="2"/>
    </row>
    <row r="191" spans="1:4" x14ac:dyDescent="0.25">
      <c r="A191" t="s">
        <v>20</v>
      </c>
      <c r="B191" t="s">
        <v>21</v>
      </c>
      <c r="C191" s="2"/>
      <c r="D191" s="2"/>
    </row>
    <row r="192" spans="1:4" x14ac:dyDescent="0.25">
      <c r="A192" t="s">
        <v>20</v>
      </c>
      <c r="B192" t="s">
        <v>21</v>
      </c>
      <c r="C192" s="2"/>
      <c r="D192" s="2"/>
    </row>
    <row r="193" spans="1:4" x14ac:dyDescent="0.25">
      <c r="A193" t="s">
        <v>20</v>
      </c>
      <c r="B193" t="s">
        <v>21</v>
      </c>
      <c r="C193" s="2"/>
      <c r="D193" s="2"/>
    </row>
    <row r="194" spans="1:4" x14ac:dyDescent="0.25">
      <c r="A194" t="s">
        <v>20</v>
      </c>
      <c r="B194" t="s">
        <v>21</v>
      </c>
      <c r="C194" s="2"/>
      <c r="D194" s="2"/>
    </row>
    <row r="195" spans="1:4" x14ac:dyDescent="0.25">
      <c r="A195" t="s">
        <v>20</v>
      </c>
      <c r="B195" t="s">
        <v>21</v>
      </c>
      <c r="C195" s="2"/>
      <c r="D195" s="2"/>
    </row>
    <row r="196" spans="1:4" x14ac:dyDescent="0.25">
      <c r="A196" t="s">
        <v>20</v>
      </c>
      <c r="B196" t="s">
        <v>21</v>
      </c>
      <c r="C196" s="2"/>
      <c r="D196" s="4"/>
    </row>
    <row r="197" spans="1:4" x14ac:dyDescent="0.25">
      <c r="B197" t="s">
        <v>21</v>
      </c>
      <c r="C197" s="2"/>
      <c r="D197" s="4"/>
    </row>
    <row r="198" spans="1:4" x14ac:dyDescent="0.25">
      <c r="C198" s="2"/>
    </row>
    <row r="199" spans="1:4" x14ac:dyDescent="0.25">
      <c r="A199" t="s">
        <v>22</v>
      </c>
      <c r="B199" t="s">
        <v>23</v>
      </c>
      <c r="C199" s="2"/>
      <c r="D199" s="4"/>
    </row>
    <row r="200" spans="1:4" x14ac:dyDescent="0.25">
      <c r="B200" t="s">
        <v>23</v>
      </c>
      <c r="C200" s="2"/>
      <c r="D200" s="4"/>
    </row>
    <row r="201" spans="1:4" x14ac:dyDescent="0.25">
      <c r="C201" s="2"/>
    </row>
    <row r="202" spans="1:4" x14ac:dyDescent="0.25">
      <c r="A202" t="s">
        <v>24</v>
      </c>
      <c r="B202" t="s">
        <v>25</v>
      </c>
      <c r="C202" s="2"/>
      <c r="D202" s="4"/>
    </row>
    <row r="203" spans="1:4" x14ac:dyDescent="0.25">
      <c r="A203" t="s">
        <v>24</v>
      </c>
      <c r="B203" t="s">
        <v>25</v>
      </c>
      <c r="C203" s="2"/>
      <c r="D203" s="2"/>
    </row>
    <row r="204" spans="1:4" x14ac:dyDescent="0.25">
      <c r="A204" t="s">
        <v>24</v>
      </c>
      <c r="B204" t="s">
        <v>25</v>
      </c>
      <c r="C204" s="2"/>
      <c r="D204" s="2"/>
    </row>
    <row r="205" spans="1:4" x14ac:dyDescent="0.25">
      <c r="A205" t="s">
        <v>24</v>
      </c>
      <c r="B205" t="s">
        <v>25</v>
      </c>
      <c r="C205" s="2"/>
      <c r="D205" s="2"/>
    </row>
    <row r="206" spans="1:4" x14ac:dyDescent="0.25">
      <c r="A206" t="s">
        <v>24</v>
      </c>
      <c r="B206" t="s">
        <v>25</v>
      </c>
      <c r="C206" s="2"/>
      <c r="D206" s="2"/>
    </row>
    <row r="207" spans="1:4" x14ac:dyDescent="0.25">
      <c r="A207" t="s">
        <v>24</v>
      </c>
      <c r="B207" t="s">
        <v>25</v>
      </c>
      <c r="C207" s="2"/>
      <c r="D207" s="2"/>
    </row>
    <row r="208" spans="1:4" x14ac:dyDescent="0.25">
      <c r="A208" t="s">
        <v>24</v>
      </c>
      <c r="B208" t="s">
        <v>25</v>
      </c>
      <c r="C208" s="2"/>
      <c r="D208" s="2"/>
    </row>
    <row r="209" spans="1:4" x14ac:dyDescent="0.25">
      <c r="A209" t="s">
        <v>24</v>
      </c>
      <c r="B209" t="s">
        <v>25</v>
      </c>
      <c r="C209" s="2"/>
      <c r="D209" s="2"/>
    </row>
    <row r="210" spans="1:4" x14ac:dyDescent="0.25">
      <c r="A210" t="s">
        <v>24</v>
      </c>
      <c r="B210" t="s">
        <v>25</v>
      </c>
      <c r="C210" s="2"/>
      <c r="D210" s="2"/>
    </row>
    <row r="211" spans="1:4" x14ac:dyDescent="0.25">
      <c r="A211" t="s">
        <v>24</v>
      </c>
      <c r="B211" t="s">
        <v>25</v>
      </c>
      <c r="C211" s="2"/>
      <c r="D211" s="2"/>
    </row>
    <row r="212" spans="1:4" x14ac:dyDescent="0.25">
      <c r="A212" t="s">
        <v>24</v>
      </c>
      <c r="B212" t="s">
        <v>25</v>
      </c>
      <c r="C212" s="2"/>
      <c r="D212" s="2"/>
    </row>
    <row r="213" spans="1:4" x14ac:dyDescent="0.25">
      <c r="A213" t="s">
        <v>24</v>
      </c>
      <c r="B213" t="s">
        <v>25</v>
      </c>
      <c r="C213" s="2"/>
      <c r="D213" s="4"/>
    </row>
    <row r="214" spans="1:4" x14ac:dyDescent="0.25">
      <c r="A214" t="s">
        <v>24</v>
      </c>
      <c r="B214" t="s">
        <v>25</v>
      </c>
      <c r="C214" s="2"/>
      <c r="D214" s="2"/>
    </row>
    <row r="215" spans="1:4" x14ac:dyDescent="0.25">
      <c r="A215" t="s">
        <v>24</v>
      </c>
      <c r="B215" t="s">
        <v>25</v>
      </c>
      <c r="C215" s="2"/>
      <c r="D215" s="2"/>
    </row>
    <row r="216" spans="1:4" x14ac:dyDescent="0.25">
      <c r="A216" t="s">
        <v>24</v>
      </c>
      <c r="B216" t="s">
        <v>25</v>
      </c>
      <c r="C216" s="2"/>
      <c r="D216" s="2"/>
    </row>
    <row r="217" spans="1:4" x14ac:dyDescent="0.25">
      <c r="A217" t="s">
        <v>24</v>
      </c>
      <c r="B217" t="s">
        <v>25</v>
      </c>
      <c r="C217" s="2"/>
      <c r="D217" s="2"/>
    </row>
    <row r="218" spans="1:4" x14ac:dyDescent="0.25">
      <c r="A218" t="s">
        <v>24</v>
      </c>
      <c r="B218" t="s">
        <v>25</v>
      </c>
      <c r="C218" s="2"/>
      <c r="D218" s="2"/>
    </row>
    <row r="219" spans="1:4" x14ac:dyDescent="0.25">
      <c r="A219" t="s">
        <v>24</v>
      </c>
      <c r="B219" t="s">
        <v>25</v>
      </c>
      <c r="C219" s="2"/>
      <c r="D219" s="2"/>
    </row>
    <row r="220" spans="1:4" x14ac:dyDescent="0.25">
      <c r="A220" t="s">
        <v>24</v>
      </c>
      <c r="B220" t="s">
        <v>25</v>
      </c>
      <c r="C220" s="2"/>
      <c r="D220" s="2"/>
    </row>
    <row r="221" spans="1:4" x14ac:dyDescent="0.25">
      <c r="A221" t="s">
        <v>24</v>
      </c>
      <c r="B221" t="s">
        <v>25</v>
      </c>
      <c r="C221" s="2"/>
      <c r="D221" s="2"/>
    </row>
    <row r="222" spans="1:4" x14ac:dyDescent="0.25">
      <c r="A222" t="s">
        <v>24</v>
      </c>
      <c r="B222" t="s">
        <v>25</v>
      </c>
      <c r="C222" s="2"/>
      <c r="D222" s="2"/>
    </row>
    <row r="223" spans="1:4" x14ac:dyDescent="0.25">
      <c r="A223" t="s">
        <v>24</v>
      </c>
      <c r="B223" t="s">
        <v>25</v>
      </c>
      <c r="C223" s="2"/>
      <c r="D223" s="2"/>
    </row>
    <row r="224" spans="1:4" x14ac:dyDescent="0.25">
      <c r="A224" t="s">
        <v>24</v>
      </c>
      <c r="B224" t="s">
        <v>25</v>
      </c>
      <c r="C224" s="2"/>
      <c r="D224" s="4"/>
    </row>
    <row r="225" spans="1:4" x14ac:dyDescent="0.25">
      <c r="B225" t="s">
        <v>25</v>
      </c>
      <c r="C225" s="2"/>
      <c r="D225" s="4"/>
    </row>
    <row r="226" spans="1:4" x14ac:dyDescent="0.25">
      <c r="C226" s="2"/>
    </row>
    <row r="227" spans="1:4" x14ac:dyDescent="0.25">
      <c r="A227" t="s">
        <v>26</v>
      </c>
      <c r="B227" t="s">
        <v>27</v>
      </c>
      <c r="C227" s="2"/>
      <c r="D227" s="4"/>
    </row>
    <row r="228" spans="1:4" x14ac:dyDescent="0.25">
      <c r="A228" t="s">
        <v>26</v>
      </c>
      <c r="B228" t="s">
        <v>27</v>
      </c>
      <c r="C228" s="2"/>
    </row>
    <row r="229" spans="1:4" x14ac:dyDescent="0.25">
      <c r="A229" t="s">
        <v>26</v>
      </c>
      <c r="B229" t="s">
        <v>27</v>
      </c>
      <c r="C229" s="2"/>
    </row>
    <row r="230" spans="1:4" x14ac:dyDescent="0.25">
      <c r="A230" t="s">
        <v>26</v>
      </c>
      <c r="B230" t="s">
        <v>27</v>
      </c>
      <c r="C230" s="2"/>
    </row>
    <row r="231" spans="1:4" x14ac:dyDescent="0.25">
      <c r="A231" t="s">
        <v>26</v>
      </c>
      <c r="B231" t="s">
        <v>27</v>
      </c>
      <c r="C231" s="2"/>
    </row>
    <row r="232" spans="1:4" x14ac:dyDescent="0.25">
      <c r="A232" t="s">
        <v>26</v>
      </c>
      <c r="B232" t="s">
        <v>27</v>
      </c>
      <c r="C232" s="2"/>
    </row>
    <row r="233" spans="1:4" x14ac:dyDescent="0.25">
      <c r="A233" t="s">
        <v>26</v>
      </c>
      <c r="B233" t="s">
        <v>27</v>
      </c>
      <c r="C233" s="2"/>
    </row>
    <row r="234" spans="1:4" x14ac:dyDescent="0.25">
      <c r="A234" t="s">
        <v>26</v>
      </c>
      <c r="B234" t="s">
        <v>27</v>
      </c>
      <c r="C234" s="2"/>
    </row>
    <row r="235" spans="1:4" x14ac:dyDescent="0.25">
      <c r="A235" t="s">
        <v>26</v>
      </c>
      <c r="B235" t="s">
        <v>27</v>
      </c>
      <c r="C235" s="2"/>
    </row>
    <row r="236" spans="1:4" x14ac:dyDescent="0.25">
      <c r="A236" t="s">
        <v>26</v>
      </c>
      <c r="B236" t="s">
        <v>27</v>
      </c>
      <c r="C236" s="2"/>
    </row>
    <row r="237" spans="1:4" x14ac:dyDescent="0.25">
      <c r="A237" t="s">
        <v>26</v>
      </c>
      <c r="B237" t="s">
        <v>27</v>
      </c>
      <c r="C237" s="2"/>
    </row>
    <row r="238" spans="1:4" x14ac:dyDescent="0.25">
      <c r="A238" t="s">
        <v>26</v>
      </c>
      <c r="B238" t="s">
        <v>27</v>
      </c>
      <c r="C238" s="2"/>
      <c r="D238" s="4"/>
    </row>
    <row r="239" spans="1:4" x14ac:dyDescent="0.25">
      <c r="A239" t="s">
        <v>26</v>
      </c>
      <c r="B239" t="s">
        <v>27</v>
      </c>
      <c r="C239" s="2"/>
      <c r="D239" s="2"/>
    </row>
    <row r="240" spans="1:4" x14ac:dyDescent="0.25">
      <c r="A240" t="s">
        <v>26</v>
      </c>
      <c r="B240" t="s">
        <v>27</v>
      </c>
      <c r="C240" s="2"/>
      <c r="D240" s="2"/>
    </row>
    <row r="241" spans="1:4" x14ac:dyDescent="0.25">
      <c r="A241" t="s">
        <v>26</v>
      </c>
      <c r="B241" t="s">
        <v>27</v>
      </c>
      <c r="C241" s="2"/>
      <c r="D241" s="2"/>
    </row>
    <row r="242" spans="1:4" x14ac:dyDescent="0.25">
      <c r="A242" t="s">
        <v>26</v>
      </c>
      <c r="B242" t="s">
        <v>27</v>
      </c>
      <c r="C242" s="2"/>
      <c r="D242" s="2"/>
    </row>
    <row r="243" spans="1:4" x14ac:dyDescent="0.25">
      <c r="A243" t="s">
        <v>26</v>
      </c>
      <c r="B243" t="s">
        <v>27</v>
      </c>
      <c r="C243" s="2"/>
      <c r="D243" s="2"/>
    </row>
    <row r="244" spans="1:4" x14ac:dyDescent="0.25">
      <c r="A244" t="s">
        <v>26</v>
      </c>
      <c r="B244" t="s">
        <v>27</v>
      </c>
      <c r="C244" s="2"/>
      <c r="D244" s="2"/>
    </row>
    <row r="245" spans="1:4" x14ac:dyDescent="0.25">
      <c r="A245" t="s">
        <v>26</v>
      </c>
      <c r="B245" t="s">
        <v>27</v>
      </c>
      <c r="C245" s="2"/>
      <c r="D245" s="2"/>
    </row>
    <row r="246" spans="1:4" x14ac:dyDescent="0.25">
      <c r="A246" t="s">
        <v>26</v>
      </c>
      <c r="B246" t="s">
        <v>27</v>
      </c>
      <c r="C246" s="2"/>
      <c r="D246" s="2"/>
    </row>
    <row r="247" spans="1:4" x14ac:dyDescent="0.25">
      <c r="A247" t="s">
        <v>26</v>
      </c>
      <c r="B247" t="s">
        <v>27</v>
      </c>
      <c r="C247" s="2"/>
      <c r="D247" s="2"/>
    </row>
    <row r="248" spans="1:4" x14ac:dyDescent="0.25">
      <c r="A248" t="s">
        <v>26</v>
      </c>
      <c r="B248" t="s">
        <v>27</v>
      </c>
      <c r="C248" s="2"/>
      <c r="D248" s="2"/>
    </row>
    <row r="249" spans="1:4" x14ac:dyDescent="0.25">
      <c r="A249" t="s">
        <v>26</v>
      </c>
      <c r="B249" t="s">
        <v>27</v>
      </c>
      <c r="C249" s="2"/>
      <c r="D249" s="4"/>
    </row>
    <row r="250" spans="1:4" x14ac:dyDescent="0.25">
      <c r="A250" t="s">
        <v>26</v>
      </c>
      <c r="B250" t="s">
        <v>27</v>
      </c>
      <c r="C250" s="2"/>
      <c r="D250" s="2"/>
    </row>
    <row r="251" spans="1:4" x14ac:dyDescent="0.25">
      <c r="A251" t="s">
        <v>26</v>
      </c>
      <c r="B251" t="s">
        <v>27</v>
      </c>
      <c r="C251" s="2"/>
      <c r="D251" s="2"/>
    </row>
    <row r="252" spans="1:4" x14ac:dyDescent="0.25">
      <c r="A252" t="s">
        <v>26</v>
      </c>
      <c r="B252" t="s">
        <v>27</v>
      </c>
      <c r="C252" s="2"/>
      <c r="D252" s="2"/>
    </row>
    <row r="253" spans="1:4" x14ac:dyDescent="0.25">
      <c r="A253" t="str">
        <f>A252</f>
        <v>GUARANTEED FUND- DYNAMIC</v>
      </c>
      <c r="B253" t="s">
        <v>27</v>
      </c>
      <c r="C253" s="2"/>
      <c r="D253" s="4"/>
    </row>
    <row r="254" spans="1:4" x14ac:dyDescent="0.25">
      <c r="B254" t="s">
        <v>27</v>
      </c>
      <c r="C254" s="2"/>
      <c r="D254" s="4"/>
    </row>
    <row r="255" spans="1:4" x14ac:dyDescent="0.25">
      <c r="C255" s="2"/>
    </row>
    <row r="256" spans="1:4" x14ac:dyDescent="0.25">
      <c r="A256" t="s">
        <v>28</v>
      </c>
      <c r="B256" t="s">
        <v>29</v>
      </c>
      <c r="C256" s="2"/>
      <c r="D256" s="4"/>
    </row>
    <row r="257" spans="1:4" x14ac:dyDescent="0.25">
      <c r="A257" t="s">
        <v>28</v>
      </c>
      <c r="B257" t="s">
        <v>29</v>
      </c>
      <c r="C257" s="2"/>
    </row>
    <row r="258" spans="1:4" x14ac:dyDescent="0.25">
      <c r="A258" t="s">
        <v>28</v>
      </c>
      <c r="B258" t="s">
        <v>29</v>
      </c>
      <c r="C258" s="2"/>
    </row>
    <row r="259" spans="1:4" x14ac:dyDescent="0.25">
      <c r="A259" t="s">
        <v>28</v>
      </c>
      <c r="B259" t="s">
        <v>29</v>
      </c>
      <c r="C259" s="2"/>
    </row>
    <row r="260" spans="1:4" x14ac:dyDescent="0.25">
      <c r="A260" t="s">
        <v>28</v>
      </c>
      <c r="B260" t="s">
        <v>29</v>
      </c>
      <c r="C260" s="2"/>
    </row>
    <row r="261" spans="1:4" x14ac:dyDescent="0.25">
      <c r="A261" t="s">
        <v>28</v>
      </c>
      <c r="B261" t="s">
        <v>29</v>
      </c>
      <c r="C261" s="2"/>
    </row>
    <row r="262" spans="1:4" x14ac:dyDescent="0.25">
      <c r="A262" t="s">
        <v>28</v>
      </c>
      <c r="B262" t="s">
        <v>29</v>
      </c>
      <c r="C262" s="2"/>
    </row>
    <row r="263" spans="1:4" x14ac:dyDescent="0.25">
      <c r="A263" t="s">
        <v>28</v>
      </c>
      <c r="B263" t="s">
        <v>29</v>
      </c>
      <c r="C263" s="2"/>
    </row>
    <row r="264" spans="1:4" x14ac:dyDescent="0.25">
      <c r="A264" t="s">
        <v>28</v>
      </c>
      <c r="B264" t="s">
        <v>29</v>
      </c>
      <c r="C264" s="2"/>
    </row>
    <row r="265" spans="1:4" x14ac:dyDescent="0.25">
      <c r="A265" t="s">
        <v>28</v>
      </c>
      <c r="B265" t="s">
        <v>29</v>
      </c>
      <c r="C265" s="2"/>
    </row>
    <row r="266" spans="1:4" x14ac:dyDescent="0.25">
      <c r="A266" t="s">
        <v>28</v>
      </c>
      <c r="B266" t="s">
        <v>29</v>
      </c>
      <c r="C266" s="2"/>
    </row>
    <row r="267" spans="1:4" x14ac:dyDescent="0.25">
      <c r="A267" t="s">
        <v>28</v>
      </c>
      <c r="B267" t="s">
        <v>29</v>
      </c>
      <c r="C267" s="2"/>
      <c r="D267" s="4"/>
    </row>
    <row r="268" spans="1:4" x14ac:dyDescent="0.25">
      <c r="A268" t="s">
        <v>28</v>
      </c>
      <c r="B268" t="s">
        <v>29</v>
      </c>
      <c r="C268" s="2"/>
    </row>
    <row r="269" spans="1:4" x14ac:dyDescent="0.25">
      <c r="A269" t="s">
        <v>28</v>
      </c>
      <c r="B269" t="s">
        <v>29</v>
      </c>
      <c r="C269" s="2"/>
    </row>
    <row r="270" spans="1:4" x14ac:dyDescent="0.25">
      <c r="A270" t="s">
        <v>28</v>
      </c>
      <c r="B270" t="s">
        <v>29</v>
      </c>
      <c r="C270" s="2"/>
    </row>
    <row r="271" spans="1:4" x14ac:dyDescent="0.25">
      <c r="A271" t="s">
        <v>28</v>
      </c>
      <c r="B271" t="s">
        <v>29</v>
      </c>
      <c r="C271" s="2"/>
    </row>
    <row r="272" spans="1:4" x14ac:dyDescent="0.25">
      <c r="A272" t="s">
        <v>28</v>
      </c>
      <c r="B272" t="s">
        <v>29</v>
      </c>
      <c r="C272" s="2"/>
    </row>
    <row r="273" spans="1:4" x14ac:dyDescent="0.25">
      <c r="A273" t="s">
        <v>28</v>
      </c>
      <c r="B273" t="s">
        <v>29</v>
      </c>
      <c r="C273" s="2"/>
    </row>
    <row r="274" spans="1:4" x14ac:dyDescent="0.25">
      <c r="A274" t="s">
        <v>28</v>
      </c>
      <c r="B274" t="s">
        <v>29</v>
      </c>
      <c r="C274" s="2"/>
    </row>
    <row r="275" spans="1:4" x14ac:dyDescent="0.25">
      <c r="A275" t="s">
        <v>28</v>
      </c>
      <c r="B275" t="s">
        <v>29</v>
      </c>
      <c r="C275" s="2"/>
    </row>
    <row r="276" spans="1:4" x14ac:dyDescent="0.25">
      <c r="A276" t="s">
        <v>28</v>
      </c>
      <c r="B276" t="s">
        <v>29</v>
      </c>
      <c r="C276" s="2"/>
    </row>
    <row r="277" spans="1:4" x14ac:dyDescent="0.25">
      <c r="A277" t="s">
        <v>28</v>
      </c>
      <c r="B277" t="s">
        <v>29</v>
      </c>
      <c r="C277" s="2"/>
    </row>
    <row r="278" spans="1:4" x14ac:dyDescent="0.25">
      <c r="A278" t="str">
        <f>A277</f>
        <v>GUARANTEED FUND-INCOME</v>
      </c>
      <c r="B278" t="s">
        <v>29</v>
      </c>
      <c r="C278" s="2"/>
      <c r="D278" s="4"/>
    </row>
    <row r="279" spans="1:4" x14ac:dyDescent="0.25">
      <c r="B279" t="s">
        <v>29</v>
      </c>
      <c r="C279" s="2"/>
      <c r="D279" s="4"/>
    </row>
    <row r="280" spans="1:4" x14ac:dyDescent="0.25">
      <c r="C280" s="1"/>
    </row>
    <row r="281" spans="1:4" x14ac:dyDescent="0.25">
      <c r="A281" t="s">
        <v>30</v>
      </c>
      <c r="B281" t="s">
        <v>31</v>
      </c>
      <c r="C281" s="1"/>
      <c r="D281" s="4"/>
    </row>
    <row r="282" spans="1:4" x14ac:dyDescent="0.25">
      <c r="A282" t="s">
        <v>30</v>
      </c>
      <c r="B282" t="s">
        <v>31</v>
      </c>
      <c r="C282" s="1"/>
    </row>
    <row r="283" spans="1:4" x14ac:dyDescent="0.25">
      <c r="A283" t="s">
        <v>30</v>
      </c>
      <c r="B283" t="s">
        <v>31</v>
      </c>
      <c r="C283" s="1"/>
    </row>
    <row r="284" spans="1:4" x14ac:dyDescent="0.25">
      <c r="A284" t="s">
        <v>30</v>
      </c>
      <c r="B284" t="s">
        <v>31</v>
      </c>
      <c r="C284" s="1"/>
    </row>
    <row r="285" spans="1:4" x14ac:dyDescent="0.25">
      <c r="A285" t="s">
        <v>30</v>
      </c>
      <c r="B285" t="s">
        <v>31</v>
      </c>
      <c r="C285" s="1"/>
    </row>
    <row r="286" spans="1:4" x14ac:dyDescent="0.25">
      <c r="A286" t="s">
        <v>30</v>
      </c>
      <c r="B286" t="s">
        <v>31</v>
      </c>
      <c r="C286" s="1"/>
    </row>
    <row r="287" spans="1:4" x14ac:dyDescent="0.25">
      <c r="A287" t="s">
        <v>30</v>
      </c>
      <c r="B287" t="s">
        <v>31</v>
      </c>
      <c r="C287" s="1"/>
    </row>
    <row r="288" spans="1:4" x14ac:dyDescent="0.25">
      <c r="A288" t="s">
        <v>30</v>
      </c>
      <c r="B288" t="s">
        <v>31</v>
      </c>
      <c r="C288" s="1"/>
    </row>
    <row r="289" spans="1:4" x14ac:dyDescent="0.25">
      <c r="A289" t="s">
        <v>30</v>
      </c>
      <c r="B289" t="s">
        <v>31</v>
      </c>
      <c r="C289" s="1"/>
    </row>
    <row r="290" spans="1:4" x14ac:dyDescent="0.25">
      <c r="A290" t="s">
        <v>30</v>
      </c>
      <c r="B290" t="s">
        <v>31</v>
      </c>
      <c r="C290" s="1"/>
    </row>
    <row r="291" spans="1:4" x14ac:dyDescent="0.25">
      <c r="A291" t="s">
        <v>30</v>
      </c>
      <c r="B291" t="s">
        <v>31</v>
      </c>
      <c r="C291" s="1"/>
    </row>
    <row r="292" spans="1:4" x14ac:dyDescent="0.25">
      <c r="A292" t="str">
        <f>A291</f>
        <v>UL LIFE DIVERSIFIED EQUITY FUND</v>
      </c>
      <c r="B292" t="s">
        <v>31</v>
      </c>
      <c r="C292" s="1"/>
      <c r="D292" s="4"/>
    </row>
    <row r="293" spans="1:4" x14ac:dyDescent="0.25">
      <c r="B293" t="s">
        <v>31</v>
      </c>
      <c r="C293" s="1"/>
      <c r="D293" s="4"/>
    </row>
    <row r="295" spans="1:4" x14ac:dyDescent="0.25">
      <c r="A295" t="s">
        <v>32</v>
      </c>
      <c r="B295" t="s">
        <v>33</v>
      </c>
      <c r="C295" s="2"/>
      <c r="D295" s="4"/>
    </row>
    <row r="296" spans="1:4" x14ac:dyDescent="0.25">
      <c r="B296" t="s">
        <v>33</v>
      </c>
      <c r="C296" s="2"/>
      <c r="D296" s="4"/>
    </row>
    <row r="298" spans="1:4" x14ac:dyDescent="0.25">
      <c r="A298" t="s">
        <v>34</v>
      </c>
      <c r="B298" t="s">
        <v>35</v>
      </c>
      <c r="C298" s="2"/>
      <c r="D298" s="4"/>
    </row>
    <row r="299" spans="1:4" x14ac:dyDescent="0.25">
      <c r="A299" t="s">
        <v>34</v>
      </c>
      <c r="B299" t="s">
        <v>35</v>
      </c>
      <c r="C299" s="2"/>
    </row>
    <row r="300" spans="1:4" x14ac:dyDescent="0.25">
      <c r="A300" t="s">
        <v>34</v>
      </c>
      <c r="B300" t="s">
        <v>35</v>
      </c>
      <c r="C300" s="2"/>
    </row>
    <row r="301" spans="1:4" x14ac:dyDescent="0.25">
      <c r="A301" t="s">
        <v>34</v>
      </c>
      <c r="B301" t="s">
        <v>35</v>
      </c>
      <c r="C301" s="2"/>
    </row>
    <row r="302" spans="1:4" x14ac:dyDescent="0.25">
      <c r="A302" t="s">
        <v>34</v>
      </c>
      <c r="B302" t="s">
        <v>35</v>
      </c>
      <c r="C302" s="2"/>
    </row>
    <row r="303" spans="1:4" x14ac:dyDescent="0.25">
      <c r="A303" t="s">
        <v>34</v>
      </c>
      <c r="B303" t="s">
        <v>35</v>
      </c>
      <c r="C303" s="2"/>
    </row>
    <row r="304" spans="1:4" x14ac:dyDescent="0.25">
      <c r="A304" t="s">
        <v>34</v>
      </c>
      <c r="B304" t="s">
        <v>35</v>
      </c>
      <c r="C304" s="2"/>
    </row>
    <row r="305" spans="1:4" x14ac:dyDescent="0.25">
      <c r="A305" t="s">
        <v>34</v>
      </c>
      <c r="B305" t="s">
        <v>35</v>
      </c>
      <c r="C305" s="2"/>
    </row>
    <row r="306" spans="1:4" x14ac:dyDescent="0.25">
      <c r="A306" t="s">
        <v>34</v>
      </c>
      <c r="B306" t="s">
        <v>35</v>
      </c>
      <c r="C306" s="2"/>
    </row>
    <row r="307" spans="1:4" x14ac:dyDescent="0.25">
      <c r="A307" t="s">
        <v>34</v>
      </c>
      <c r="B307" t="s">
        <v>35</v>
      </c>
      <c r="C307" s="2"/>
    </row>
    <row r="308" spans="1:4" x14ac:dyDescent="0.25">
      <c r="A308" t="s">
        <v>34</v>
      </c>
      <c r="B308" t="s">
        <v>35</v>
      </c>
      <c r="C308" s="2"/>
    </row>
    <row r="309" spans="1:4" x14ac:dyDescent="0.25">
      <c r="A309" t="s">
        <v>34</v>
      </c>
      <c r="B309" t="s">
        <v>35</v>
      </c>
      <c r="C309" s="2"/>
      <c r="D309" s="4"/>
    </row>
    <row r="310" spans="1:4" x14ac:dyDescent="0.25">
      <c r="B310" t="s">
        <v>35</v>
      </c>
      <c r="C310" s="2"/>
      <c r="D310" s="4"/>
    </row>
    <row r="311" spans="1:4" x14ac:dyDescent="0.25">
      <c r="C311" s="2"/>
    </row>
    <row r="312" spans="1:4" x14ac:dyDescent="0.25">
      <c r="A312" t="s">
        <v>36</v>
      </c>
      <c r="B312" t="s">
        <v>37</v>
      </c>
      <c r="C312" s="2"/>
      <c r="D312" s="4"/>
    </row>
    <row r="313" spans="1:4" x14ac:dyDescent="0.25">
      <c r="A313" t="s">
        <v>36</v>
      </c>
      <c r="B313" t="s">
        <v>37</v>
      </c>
      <c r="C313" s="2"/>
    </row>
    <row r="314" spans="1:4" x14ac:dyDescent="0.25">
      <c r="A314" t="s">
        <v>36</v>
      </c>
      <c r="B314" t="s">
        <v>37</v>
      </c>
      <c r="C314" s="2"/>
    </row>
    <row r="315" spans="1:4" x14ac:dyDescent="0.25">
      <c r="A315" t="s">
        <v>36</v>
      </c>
      <c r="B315" t="s">
        <v>37</v>
      </c>
      <c r="C315" s="2"/>
    </row>
    <row r="316" spans="1:4" x14ac:dyDescent="0.25">
      <c r="A316" t="s">
        <v>36</v>
      </c>
      <c r="B316" t="s">
        <v>37</v>
      </c>
      <c r="C316" s="2"/>
    </row>
    <row r="317" spans="1:4" x14ac:dyDescent="0.25">
      <c r="A317" t="s">
        <v>36</v>
      </c>
      <c r="B317" t="s">
        <v>37</v>
      </c>
      <c r="C317" s="2"/>
    </row>
    <row r="318" spans="1:4" x14ac:dyDescent="0.25">
      <c r="A318" t="s">
        <v>36</v>
      </c>
      <c r="B318" t="s">
        <v>37</v>
      </c>
      <c r="C318" s="2"/>
    </row>
    <row r="319" spans="1:4" x14ac:dyDescent="0.25">
      <c r="A319" t="s">
        <v>36</v>
      </c>
      <c r="B319" t="s">
        <v>37</v>
      </c>
      <c r="C319" s="2"/>
    </row>
    <row r="320" spans="1:4" x14ac:dyDescent="0.25">
      <c r="A320" t="s">
        <v>36</v>
      </c>
      <c r="B320" t="s">
        <v>37</v>
      </c>
      <c r="C320" s="2"/>
    </row>
    <row r="321" spans="1:4" x14ac:dyDescent="0.25">
      <c r="A321" t="s">
        <v>36</v>
      </c>
      <c r="B321" t="s">
        <v>37</v>
      </c>
      <c r="C321" s="2"/>
    </row>
    <row r="322" spans="1:4" x14ac:dyDescent="0.25">
      <c r="A322" t="s">
        <v>36</v>
      </c>
      <c r="B322" t="s">
        <v>37</v>
      </c>
      <c r="C322" s="2"/>
    </row>
    <row r="323" spans="1:4" x14ac:dyDescent="0.25">
      <c r="A323" t="s">
        <v>36</v>
      </c>
      <c r="B323" t="s">
        <v>37</v>
      </c>
      <c r="C323" s="2"/>
      <c r="D323" s="4"/>
    </row>
    <row r="324" spans="1:4" x14ac:dyDescent="0.25">
      <c r="B324" t="s">
        <v>37</v>
      </c>
      <c r="C324" s="2"/>
      <c r="D324" s="4"/>
    </row>
    <row r="326" spans="1:4" x14ac:dyDescent="0.25">
      <c r="A326" t="s">
        <v>38</v>
      </c>
      <c r="B326" t="s">
        <v>39</v>
      </c>
      <c r="C326" s="2"/>
      <c r="D326" s="4"/>
    </row>
    <row r="327" spans="1:4" x14ac:dyDescent="0.25">
      <c r="A327" t="s">
        <v>38</v>
      </c>
      <c r="B327" t="s">
        <v>39</v>
      </c>
      <c r="C327" s="2"/>
      <c r="D327" s="2"/>
    </row>
    <row r="328" spans="1:4" x14ac:dyDescent="0.25">
      <c r="A328" t="s">
        <v>38</v>
      </c>
      <c r="B328" t="s">
        <v>39</v>
      </c>
      <c r="C328" s="2"/>
      <c r="D328" s="2"/>
    </row>
    <row r="329" spans="1:4" x14ac:dyDescent="0.25">
      <c r="A329" t="s">
        <v>38</v>
      </c>
      <c r="B329" t="s">
        <v>39</v>
      </c>
      <c r="C329" s="2"/>
      <c r="D329" s="2"/>
    </row>
    <row r="330" spans="1:4" x14ac:dyDescent="0.25">
      <c r="A330" t="s">
        <v>38</v>
      </c>
      <c r="B330" t="s">
        <v>39</v>
      </c>
      <c r="C330" s="2"/>
      <c r="D330" s="2"/>
    </row>
    <row r="331" spans="1:4" x14ac:dyDescent="0.25">
      <c r="A331" t="s">
        <v>38</v>
      </c>
      <c r="B331" t="s">
        <v>39</v>
      </c>
      <c r="C331" s="2"/>
      <c r="D331" s="2"/>
    </row>
    <row r="332" spans="1:4" x14ac:dyDescent="0.25">
      <c r="A332" t="s">
        <v>38</v>
      </c>
      <c r="B332" t="s">
        <v>39</v>
      </c>
      <c r="C332" s="2"/>
      <c r="D332" s="2"/>
    </row>
    <row r="333" spans="1:4" x14ac:dyDescent="0.25">
      <c r="A333" t="s">
        <v>38</v>
      </c>
      <c r="B333" t="s">
        <v>39</v>
      </c>
      <c r="C333" s="2"/>
      <c r="D333" s="2"/>
    </row>
    <row r="334" spans="1:4" x14ac:dyDescent="0.25">
      <c r="A334" t="s">
        <v>38</v>
      </c>
      <c r="B334" t="s">
        <v>39</v>
      </c>
      <c r="C334" s="2"/>
      <c r="D334" s="2"/>
    </row>
    <row r="335" spans="1:4" x14ac:dyDescent="0.25">
      <c r="A335" t="s">
        <v>38</v>
      </c>
      <c r="B335" t="s">
        <v>39</v>
      </c>
      <c r="C335" s="2"/>
      <c r="D335" s="2"/>
    </row>
    <row r="336" spans="1:4" x14ac:dyDescent="0.25">
      <c r="A336" t="s">
        <v>38</v>
      </c>
      <c r="B336" t="s">
        <v>39</v>
      </c>
      <c r="C336" s="2"/>
      <c r="D336" s="2"/>
    </row>
    <row r="337" spans="1:4" x14ac:dyDescent="0.25">
      <c r="A337" t="s">
        <v>38</v>
      </c>
      <c r="B337" t="s">
        <v>39</v>
      </c>
      <c r="C337" s="2"/>
      <c r="D337" s="4"/>
    </row>
    <row r="338" spans="1:4" x14ac:dyDescent="0.25">
      <c r="A338" t="s">
        <v>38</v>
      </c>
      <c r="B338" t="s">
        <v>39</v>
      </c>
      <c r="C338" s="2"/>
      <c r="D338" s="2"/>
    </row>
    <row r="339" spans="1:4" x14ac:dyDescent="0.25">
      <c r="A339" t="s">
        <v>38</v>
      </c>
      <c r="B339" t="s">
        <v>39</v>
      </c>
      <c r="C339" s="2"/>
      <c r="D339" s="2"/>
    </row>
    <row r="340" spans="1:4" x14ac:dyDescent="0.25">
      <c r="A340" t="s">
        <v>38</v>
      </c>
      <c r="B340" t="s">
        <v>39</v>
      </c>
      <c r="C340" s="2"/>
      <c r="D340" s="2"/>
    </row>
    <row r="341" spans="1:4" x14ac:dyDescent="0.25">
      <c r="A341" t="s">
        <v>38</v>
      </c>
      <c r="B341" t="s">
        <v>39</v>
      </c>
      <c r="C341" s="2"/>
      <c r="D341" s="2"/>
    </row>
    <row r="342" spans="1:4" x14ac:dyDescent="0.25">
      <c r="A342" t="s">
        <v>38</v>
      </c>
      <c r="B342" t="s">
        <v>39</v>
      </c>
      <c r="C342" s="2"/>
      <c r="D342" s="2"/>
    </row>
    <row r="343" spans="1:4" x14ac:dyDescent="0.25">
      <c r="A343" t="s">
        <v>38</v>
      </c>
      <c r="B343" t="s">
        <v>39</v>
      </c>
      <c r="C343" s="2"/>
      <c r="D343" s="2"/>
    </row>
    <row r="344" spans="1:4" x14ac:dyDescent="0.25">
      <c r="A344" t="s">
        <v>38</v>
      </c>
      <c r="B344" t="s">
        <v>39</v>
      </c>
      <c r="C344" s="2"/>
      <c r="D344" s="2"/>
    </row>
    <row r="345" spans="1:4" x14ac:dyDescent="0.25">
      <c r="A345" t="s">
        <v>38</v>
      </c>
      <c r="B345" t="s">
        <v>39</v>
      </c>
      <c r="C345" s="2"/>
      <c r="D345" s="2"/>
    </row>
    <row r="346" spans="1:4" x14ac:dyDescent="0.25">
      <c r="A346" t="s">
        <v>38</v>
      </c>
      <c r="B346" t="s">
        <v>39</v>
      </c>
      <c r="C346" s="2"/>
      <c r="D346" s="2"/>
    </row>
    <row r="347" spans="1:4" x14ac:dyDescent="0.25">
      <c r="A347" t="s">
        <v>38</v>
      </c>
      <c r="B347" t="s">
        <v>39</v>
      </c>
      <c r="C347" s="2"/>
      <c r="D347" s="2"/>
    </row>
    <row r="348" spans="1:4" x14ac:dyDescent="0.25">
      <c r="A348" t="s">
        <v>38</v>
      </c>
      <c r="B348" t="s">
        <v>39</v>
      </c>
      <c r="C348" s="2"/>
      <c r="D348" s="4"/>
    </row>
    <row r="349" spans="1:4" x14ac:dyDescent="0.25">
      <c r="B349" t="s">
        <v>39</v>
      </c>
      <c r="C349" s="2"/>
      <c r="D349" s="4"/>
    </row>
    <row r="351" spans="1:4" x14ac:dyDescent="0.25">
      <c r="A351" t="s">
        <v>40</v>
      </c>
      <c r="B351" t="s">
        <v>41</v>
      </c>
      <c r="C351" s="1"/>
      <c r="D351" s="4"/>
    </row>
    <row r="352" spans="1:4" x14ac:dyDescent="0.25">
      <c r="A352" t="s">
        <v>40</v>
      </c>
      <c r="B352" t="s">
        <v>41</v>
      </c>
      <c r="C352" s="1"/>
    </row>
    <row r="353" spans="1:4" x14ac:dyDescent="0.25">
      <c r="A353" t="s">
        <v>40</v>
      </c>
      <c r="B353" t="s">
        <v>41</v>
      </c>
      <c r="C353" s="1"/>
    </row>
    <row r="354" spans="1:4" x14ac:dyDescent="0.25">
      <c r="A354" t="s">
        <v>40</v>
      </c>
      <c r="B354" t="s">
        <v>41</v>
      </c>
      <c r="C354" s="1"/>
    </row>
    <row r="355" spans="1:4" x14ac:dyDescent="0.25">
      <c r="A355" t="s">
        <v>40</v>
      </c>
      <c r="B355" t="s">
        <v>41</v>
      </c>
      <c r="C355" s="1"/>
    </row>
    <row r="356" spans="1:4" x14ac:dyDescent="0.25">
      <c r="A356" t="s">
        <v>40</v>
      </c>
      <c r="B356" t="s">
        <v>41</v>
      </c>
      <c r="C356" s="1"/>
    </row>
    <row r="357" spans="1:4" x14ac:dyDescent="0.25">
      <c r="A357" t="s">
        <v>40</v>
      </c>
      <c r="B357" t="s">
        <v>41</v>
      </c>
      <c r="C357" s="1"/>
    </row>
    <row r="358" spans="1:4" x14ac:dyDescent="0.25">
      <c r="A358" t="s">
        <v>40</v>
      </c>
      <c r="B358" t="s">
        <v>41</v>
      </c>
      <c r="C358" s="1"/>
    </row>
    <row r="359" spans="1:4" x14ac:dyDescent="0.25">
      <c r="A359" t="s">
        <v>40</v>
      </c>
      <c r="B359" t="s">
        <v>41</v>
      </c>
      <c r="C359" s="1"/>
    </row>
    <row r="360" spans="1:4" x14ac:dyDescent="0.25">
      <c r="A360" t="s">
        <v>40</v>
      </c>
      <c r="B360" t="s">
        <v>41</v>
      </c>
      <c r="C360" s="1"/>
    </row>
    <row r="361" spans="1:4" x14ac:dyDescent="0.25">
      <c r="A361" t="s">
        <v>40</v>
      </c>
      <c r="B361" t="s">
        <v>41</v>
      </c>
      <c r="C361" s="1"/>
    </row>
    <row r="362" spans="1:4" x14ac:dyDescent="0.25">
      <c r="A362" t="s">
        <v>40</v>
      </c>
      <c r="B362" t="s">
        <v>41</v>
      </c>
      <c r="C362" s="1"/>
      <c r="D362" s="4"/>
    </row>
    <row r="363" spans="1:4" x14ac:dyDescent="0.25">
      <c r="B363" t="s">
        <v>41</v>
      </c>
      <c r="C363" s="1"/>
      <c r="D363" s="4"/>
    </row>
    <row r="365" spans="1:4" x14ac:dyDescent="0.25">
      <c r="A365" t="s">
        <v>42</v>
      </c>
      <c r="B365" t="s">
        <v>43</v>
      </c>
      <c r="C365" s="2"/>
      <c r="D365" s="4"/>
    </row>
    <row r="366" spans="1:4" x14ac:dyDescent="0.25">
      <c r="A366" t="s">
        <v>42</v>
      </c>
      <c r="B366" t="s">
        <v>43</v>
      </c>
      <c r="C366" s="2"/>
    </row>
    <row r="367" spans="1:4" x14ac:dyDescent="0.25">
      <c r="A367" t="s">
        <v>42</v>
      </c>
      <c r="B367" t="s">
        <v>43</v>
      </c>
      <c r="C367" s="2"/>
    </row>
    <row r="368" spans="1:4" x14ac:dyDescent="0.25">
      <c r="A368" t="s">
        <v>42</v>
      </c>
      <c r="B368" t="s">
        <v>43</v>
      </c>
      <c r="C368" s="2"/>
    </row>
    <row r="369" spans="1:4" x14ac:dyDescent="0.25">
      <c r="A369" t="s">
        <v>42</v>
      </c>
      <c r="B369" t="s">
        <v>43</v>
      </c>
      <c r="C369" s="2"/>
    </row>
    <row r="370" spans="1:4" x14ac:dyDescent="0.25">
      <c r="A370" t="s">
        <v>42</v>
      </c>
      <c r="B370" t="s">
        <v>43</v>
      </c>
      <c r="C370" s="2"/>
    </row>
    <row r="371" spans="1:4" x14ac:dyDescent="0.25">
      <c r="A371" t="s">
        <v>42</v>
      </c>
      <c r="B371" t="s">
        <v>43</v>
      </c>
      <c r="C371" s="2"/>
    </row>
    <row r="372" spans="1:4" x14ac:dyDescent="0.25">
      <c r="A372" t="s">
        <v>42</v>
      </c>
      <c r="B372" t="s">
        <v>43</v>
      </c>
      <c r="C372" s="2"/>
    </row>
    <row r="373" spans="1:4" x14ac:dyDescent="0.25">
      <c r="A373" t="s">
        <v>42</v>
      </c>
      <c r="B373" t="s">
        <v>43</v>
      </c>
      <c r="C373" s="2"/>
    </row>
    <row r="374" spans="1:4" x14ac:dyDescent="0.25">
      <c r="A374" t="s">
        <v>42</v>
      </c>
      <c r="B374" t="s">
        <v>43</v>
      </c>
      <c r="C374" s="2"/>
    </row>
    <row r="375" spans="1:4" x14ac:dyDescent="0.25">
      <c r="A375" t="s">
        <v>42</v>
      </c>
      <c r="B375" t="s">
        <v>43</v>
      </c>
      <c r="C375" s="2"/>
    </row>
    <row r="376" spans="1:4" x14ac:dyDescent="0.25">
      <c r="A376" t="s">
        <v>42</v>
      </c>
      <c r="B376" t="s">
        <v>43</v>
      </c>
      <c r="C376" s="2"/>
      <c r="D376" s="4"/>
    </row>
    <row r="377" spans="1:4" x14ac:dyDescent="0.25">
      <c r="B377" t="s">
        <v>43</v>
      </c>
      <c r="C377" s="2"/>
      <c r="D377" s="4"/>
    </row>
    <row r="379" spans="1:4" x14ac:dyDescent="0.25">
      <c r="A379" t="s">
        <v>44</v>
      </c>
      <c r="B379" t="s">
        <v>45</v>
      </c>
      <c r="C379" s="2"/>
      <c r="D379" s="4"/>
    </row>
    <row r="380" spans="1:4" x14ac:dyDescent="0.25">
      <c r="A380" t="s">
        <v>44</v>
      </c>
      <c r="B380" t="s">
        <v>45</v>
      </c>
      <c r="C380" s="2"/>
    </row>
    <row r="381" spans="1:4" x14ac:dyDescent="0.25">
      <c r="A381" t="s">
        <v>44</v>
      </c>
      <c r="B381" t="s">
        <v>45</v>
      </c>
      <c r="C381" s="2"/>
    </row>
    <row r="382" spans="1:4" x14ac:dyDescent="0.25">
      <c r="A382" t="s">
        <v>44</v>
      </c>
      <c r="B382" t="s">
        <v>45</v>
      </c>
      <c r="C382" s="2"/>
    </row>
    <row r="383" spans="1:4" x14ac:dyDescent="0.25">
      <c r="A383" t="s">
        <v>44</v>
      </c>
      <c r="B383" t="s">
        <v>45</v>
      </c>
      <c r="C383" s="2"/>
    </row>
    <row r="384" spans="1:4" x14ac:dyDescent="0.25">
      <c r="A384" t="s">
        <v>44</v>
      </c>
      <c r="B384" t="s">
        <v>45</v>
      </c>
      <c r="C384" s="2"/>
    </row>
    <row r="385" spans="1:4" x14ac:dyDescent="0.25">
      <c r="A385" t="s">
        <v>44</v>
      </c>
      <c r="B385" t="s">
        <v>45</v>
      </c>
      <c r="C385" s="2"/>
    </row>
    <row r="386" spans="1:4" x14ac:dyDescent="0.25">
      <c r="A386" t="s">
        <v>44</v>
      </c>
      <c r="B386" t="s">
        <v>45</v>
      </c>
      <c r="C386" s="2"/>
    </row>
    <row r="387" spans="1:4" x14ac:dyDescent="0.25">
      <c r="A387" t="s">
        <v>44</v>
      </c>
      <c r="B387" t="s">
        <v>45</v>
      </c>
      <c r="C387" s="2"/>
    </row>
    <row r="388" spans="1:4" x14ac:dyDescent="0.25">
      <c r="A388" t="s">
        <v>44</v>
      </c>
      <c r="B388" t="s">
        <v>45</v>
      </c>
      <c r="C388" s="2"/>
    </row>
    <row r="389" spans="1:4" x14ac:dyDescent="0.25">
      <c r="A389" t="s">
        <v>44</v>
      </c>
      <c r="B389" t="s">
        <v>45</v>
      </c>
      <c r="C389" s="2"/>
    </row>
    <row r="390" spans="1:4" x14ac:dyDescent="0.25">
      <c r="A390" t="s">
        <v>44</v>
      </c>
      <c r="B390" t="s">
        <v>45</v>
      </c>
      <c r="C390" s="2"/>
      <c r="D390" s="4"/>
    </row>
    <row r="391" spans="1:4" x14ac:dyDescent="0.25">
      <c r="B391" t="s">
        <v>45</v>
      </c>
      <c r="C391" s="2"/>
      <c r="D391" s="4"/>
    </row>
    <row r="393" spans="1:4" x14ac:dyDescent="0.25">
      <c r="A393" t="s">
        <v>46</v>
      </c>
      <c r="B393" t="s">
        <v>47</v>
      </c>
      <c r="C393" s="2"/>
      <c r="D393" s="4"/>
    </row>
    <row r="394" spans="1:4" x14ac:dyDescent="0.25">
      <c r="A394" t="s">
        <v>46</v>
      </c>
      <c r="B394" t="s">
        <v>47</v>
      </c>
      <c r="C394" s="2"/>
    </row>
    <row r="395" spans="1:4" x14ac:dyDescent="0.25">
      <c r="A395" t="s">
        <v>46</v>
      </c>
      <c r="B395" t="s">
        <v>47</v>
      </c>
      <c r="C395" s="2"/>
    </row>
    <row r="396" spans="1:4" x14ac:dyDescent="0.25">
      <c r="A396" t="s">
        <v>46</v>
      </c>
      <c r="B396" t="s">
        <v>47</v>
      </c>
      <c r="C396" s="2"/>
    </row>
    <row r="397" spans="1:4" x14ac:dyDescent="0.25">
      <c r="A397" t="s">
        <v>46</v>
      </c>
      <c r="B397" t="s">
        <v>47</v>
      </c>
      <c r="C397" s="2"/>
    </row>
    <row r="398" spans="1:4" x14ac:dyDescent="0.25">
      <c r="A398" t="s">
        <v>46</v>
      </c>
      <c r="B398" t="s">
        <v>47</v>
      </c>
      <c r="C398" s="2"/>
    </row>
    <row r="399" spans="1:4" x14ac:dyDescent="0.25">
      <c r="A399" t="s">
        <v>46</v>
      </c>
      <c r="B399" t="s">
        <v>47</v>
      </c>
      <c r="C399" s="2"/>
    </row>
    <row r="400" spans="1:4" x14ac:dyDescent="0.25">
      <c r="A400" t="s">
        <v>46</v>
      </c>
      <c r="B400" t="s">
        <v>47</v>
      </c>
      <c r="C400" s="2"/>
    </row>
    <row r="401" spans="1:4" x14ac:dyDescent="0.25">
      <c r="A401" t="s">
        <v>46</v>
      </c>
      <c r="B401" t="s">
        <v>47</v>
      </c>
      <c r="C401" s="2"/>
    </row>
    <row r="402" spans="1:4" x14ac:dyDescent="0.25">
      <c r="A402" t="s">
        <v>46</v>
      </c>
      <c r="B402" t="s">
        <v>47</v>
      </c>
      <c r="C402" s="2"/>
    </row>
    <row r="403" spans="1:4" x14ac:dyDescent="0.25">
      <c r="A403" t="s">
        <v>46</v>
      </c>
      <c r="B403" t="s">
        <v>47</v>
      </c>
      <c r="C403" s="2"/>
    </row>
    <row r="404" spans="1:4" x14ac:dyDescent="0.25">
      <c r="A404" t="s">
        <v>46</v>
      </c>
      <c r="B404" t="s">
        <v>47</v>
      </c>
      <c r="C404" s="2"/>
      <c r="D404" s="4"/>
    </row>
    <row r="405" spans="1:4" x14ac:dyDescent="0.25">
      <c r="B405" t="s">
        <v>47</v>
      </c>
      <c r="C405" s="2"/>
      <c r="D405" s="4"/>
    </row>
    <row r="407" spans="1:4" x14ac:dyDescent="0.25">
      <c r="A407" t="s">
        <v>48</v>
      </c>
      <c r="B407" t="s">
        <v>49</v>
      </c>
      <c r="C407" s="2"/>
      <c r="D407" s="4"/>
    </row>
    <row r="408" spans="1:4" x14ac:dyDescent="0.25">
      <c r="A408" t="s">
        <v>48</v>
      </c>
      <c r="B408" t="s">
        <v>49</v>
      </c>
      <c r="C408" s="2"/>
    </row>
    <row r="409" spans="1:4" x14ac:dyDescent="0.25">
      <c r="A409" t="s">
        <v>48</v>
      </c>
      <c r="B409" t="s">
        <v>49</v>
      </c>
      <c r="C409" s="2"/>
    </row>
    <row r="410" spans="1:4" x14ac:dyDescent="0.25">
      <c r="A410" t="s">
        <v>48</v>
      </c>
      <c r="B410" t="s">
        <v>49</v>
      </c>
      <c r="C410" s="2"/>
    </row>
    <row r="411" spans="1:4" x14ac:dyDescent="0.25">
      <c r="A411" t="s">
        <v>48</v>
      </c>
      <c r="B411" t="s">
        <v>49</v>
      </c>
      <c r="C411" s="2"/>
    </row>
    <row r="412" spans="1:4" x14ac:dyDescent="0.25">
      <c r="A412" t="s">
        <v>48</v>
      </c>
      <c r="B412" t="s">
        <v>49</v>
      </c>
      <c r="C412" s="2"/>
    </row>
    <row r="413" spans="1:4" x14ac:dyDescent="0.25">
      <c r="A413" t="s">
        <v>48</v>
      </c>
      <c r="B413" t="s">
        <v>49</v>
      </c>
      <c r="C413" s="2"/>
    </row>
    <row r="414" spans="1:4" x14ac:dyDescent="0.25">
      <c r="A414" t="s">
        <v>48</v>
      </c>
      <c r="B414" t="s">
        <v>49</v>
      </c>
      <c r="C414" s="2"/>
    </row>
    <row r="415" spans="1:4" x14ac:dyDescent="0.25">
      <c r="A415" t="s">
        <v>48</v>
      </c>
      <c r="B415" t="s">
        <v>49</v>
      </c>
      <c r="C415" s="2"/>
    </row>
    <row r="416" spans="1:4" x14ac:dyDescent="0.25">
      <c r="A416" t="s">
        <v>48</v>
      </c>
      <c r="B416" t="s">
        <v>49</v>
      </c>
      <c r="C416" s="2"/>
    </row>
    <row r="417" spans="1:4" x14ac:dyDescent="0.25">
      <c r="A417" t="s">
        <v>48</v>
      </c>
      <c r="B417" t="s">
        <v>49</v>
      </c>
      <c r="C417" s="2"/>
    </row>
    <row r="418" spans="1:4" x14ac:dyDescent="0.25">
      <c r="A418" t="s">
        <v>48</v>
      </c>
      <c r="B418" t="s">
        <v>49</v>
      </c>
      <c r="C418" s="2"/>
      <c r="D418" s="4"/>
    </row>
    <row r="419" spans="1:4" x14ac:dyDescent="0.25">
      <c r="B419" t="s">
        <v>49</v>
      </c>
      <c r="C419" s="2"/>
      <c r="D419" s="4"/>
    </row>
    <row r="421" spans="1:4" x14ac:dyDescent="0.25">
      <c r="A421" t="s">
        <v>50</v>
      </c>
      <c r="B421" t="s">
        <v>51</v>
      </c>
      <c r="C421" s="2"/>
      <c r="D421" s="4"/>
    </row>
    <row r="422" spans="1:4" x14ac:dyDescent="0.25">
      <c r="A422" t="s">
        <v>50</v>
      </c>
      <c r="B422" t="s">
        <v>51</v>
      </c>
      <c r="C422" s="2"/>
    </row>
    <row r="423" spans="1:4" x14ac:dyDescent="0.25">
      <c r="A423" t="s">
        <v>50</v>
      </c>
      <c r="B423" t="s">
        <v>51</v>
      </c>
      <c r="C423" s="2"/>
    </row>
    <row r="424" spans="1:4" x14ac:dyDescent="0.25">
      <c r="A424" t="s">
        <v>50</v>
      </c>
      <c r="B424" t="s">
        <v>51</v>
      </c>
      <c r="C424" s="2"/>
    </row>
    <row r="425" spans="1:4" x14ac:dyDescent="0.25">
      <c r="A425" t="s">
        <v>50</v>
      </c>
      <c r="B425" t="s">
        <v>51</v>
      </c>
      <c r="C425" s="2"/>
    </row>
    <row r="426" spans="1:4" x14ac:dyDescent="0.25">
      <c r="A426" t="s">
        <v>50</v>
      </c>
      <c r="B426" t="s">
        <v>51</v>
      </c>
      <c r="C426" s="2"/>
    </row>
    <row r="427" spans="1:4" x14ac:dyDescent="0.25">
      <c r="A427" t="s">
        <v>50</v>
      </c>
      <c r="B427" t="s">
        <v>51</v>
      </c>
      <c r="C427" s="2"/>
    </row>
    <row r="428" spans="1:4" x14ac:dyDescent="0.25">
      <c r="A428" t="s">
        <v>50</v>
      </c>
      <c r="B428" t="s">
        <v>51</v>
      </c>
      <c r="C428" s="2"/>
    </row>
    <row r="429" spans="1:4" x14ac:dyDescent="0.25">
      <c r="A429" t="s">
        <v>50</v>
      </c>
      <c r="B429" t="s">
        <v>51</v>
      </c>
      <c r="C429" s="2"/>
    </row>
    <row r="430" spans="1:4" x14ac:dyDescent="0.25">
      <c r="A430" t="s">
        <v>50</v>
      </c>
      <c r="B430" t="s">
        <v>51</v>
      </c>
      <c r="C430" s="2"/>
    </row>
    <row r="431" spans="1:4" x14ac:dyDescent="0.25">
      <c r="A431" t="s">
        <v>50</v>
      </c>
      <c r="B431" t="s">
        <v>51</v>
      </c>
      <c r="C431" s="2"/>
    </row>
    <row r="432" spans="1:4" x14ac:dyDescent="0.25">
      <c r="A432" t="s">
        <v>50</v>
      </c>
      <c r="B432" t="s">
        <v>51</v>
      </c>
      <c r="C432" s="2"/>
      <c r="D432" s="4"/>
    </row>
    <row r="433" spans="1:4" x14ac:dyDescent="0.25">
      <c r="B433" t="s">
        <v>51</v>
      </c>
      <c r="C433" s="2"/>
      <c r="D433" s="4"/>
    </row>
    <row r="435" spans="1:4" x14ac:dyDescent="0.25">
      <c r="A435" t="s">
        <v>52</v>
      </c>
      <c r="B435" t="s">
        <v>53</v>
      </c>
      <c r="C435" s="2"/>
      <c r="D435" s="4"/>
    </row>
    <row r="436" spans="1:4" x14ac:dyDescent="0.25">
      <c r="A436" t="s">
        <v>52</v>
      </c>
      <c r="B436" t="s">
        <v>53</v>
      </c>
      <c r="C436" s="2"/>
    </row>
    <row r="437" spans="1:4" x14ac:dyDescent="0.25">
      <c r="A437" t="s">
        <v>52</v>
      </c>
      <c r="B437" t="s">
        <v>53</v>
      </c>
      <c r="C437" s="2"/>
    </row>
    <row r="438" spans="1:4" x14ac:dyDescent="0.25">
      <c r="A438" t="s">
        <v>52</v>
      </c>
      <c r="B438" t="s">
        <v>53</v>
      </c>
      <c r="C438" s="2"/>
    </row>
    <row r="439" spans="1:4" x14ac:dyDescent="0.25">
      <c r="A439" t="s">
        <v>52</v>
      </c>
      <c r="B439" t="s">
        <v>53</v>
      </c>
      <c r="C439" s="2"/>
    </row>
    <row r="440" spans="1:4" x14ac:dyDescent="0.25">
      <c r="A440" t="s">
        <v>52</v>
      </c>
      <c r="B440" t="s">
        <v>53</v>
      </c>
      <c r="C440" s="2"/>
    </row>
    <row r="441" spans="1:4" x14ac:dyDescent="0.25">
      <c r="A441" t="s">
        <v>52</v>
      </c>
      <c r="B441" t="s">
        <v>53</v>
      </c>
      <c r="C441" s="2"/>
    </row>
    <row r="442" spans="1:4" x14ac:dyDescent="0.25">
      <c r="A442" t="s">
        <v>52</v>
      </c>
      <c r="B442" t="s">
        <v>53</v>
      </c>
      <c r="C442" s="2"/>
    </row>
    <row r="443" spans="1:4" x14ac:dyDescent="0.25">
      <c r="A443" t="s">
        <v>52</v>
      </c>
      <c r="B443" t="s">
        <v>53</v>
      </c>
      <c r="C443" s="2"/>
    </row>
    <row r="444" spans="1:4" x14ac:dyDescent="0.25">
      <c r="A444" t="s">
        <v>52</v>
      </c>
      <c r="B444" t="s">
        <v>53</v>
      </c>
      <c r="C444" s="2"/>
    </row>
    <row r="445" spans="1:4" x14ac:dyDescent="0.25">
      <c r="A445" t="s">
        <v>52</v>
      </c>
      <c r="B445" t="s">
        <v>53</v>
      </c>
      <c r="C445" s="2"/>
    </row>
    <row r="446" spans="1:4" x14ac:dyDescent="0.25">
      <c r="A446" t="s">
        <v>52</v>
      </c>
      <c r="B446" t="s">
        <v>53</v>
      </c>
      <c r="C446" s="2"/>
      <c r="D446" s="4"/>
    </row>
    <row r="447" spans="1:4" x14ac:dyDescent="0.25">
      <c r="B447" t="s">
        <v>53</v>
      </c>
      <c r="C447" s="2"/>
      <c r="D447" s="4"/>
    </row>
    <row r="449" spans="1:4" x14ac:dyDescent="0.25">
      <c r="A449" t="s">
        <v>54</v>
      </c>
      <c r="B449" t="s">
        <v>55</v>
      </c>
      <c r="C449" s="1"/>
      <c r="D449" s="4"/>
    </row>
    <row r="450" spans="1:4" x14ac:dyDescent="0.25">
      <c r="A450" t="s">
        <v>54</v>
      </c>
      <c r="B450" t="s">
        <v>55</v>
      </c>
      <c r="C450" s="1"/>
    </row>
    <row r="451" spans="1:4" x14ac:dyDescent="0.25">
      <c r="A451" t="s">
        <v>54</v>
      </c>
      <c r="B451" t="s">
        <v>55</v>
      </c>
      <c r="C451" s="1"/>
    </row>
    <row r="452" spans="1:4" x14ac:dyDescent="0.25">
      <c r="A452" t="s">
        <v>54</v>
      </c>
      <c r="B452" t="s">
        <v>55</v>
      </c>
      <c r="C452" s="1"/>
    </row>
    <row r="453" spans="1:4" x14ac:dyDescent="0.25">
      <c r="A453" t="s">
        <v>54</v>
      </c>
      <c r="B453" t="s">
        <v>55</v>
      </c>
      <c r="C453" s="1"/>
    </row>
    <row r="454" spans="1:4" x14ac:dyDescent="0.25">
      <c r="A454" t="s">
        <v>54</v>
      </c>
      <c r="B454" t="s">
        <v>55</v>
      </c>
      <c r="C454" s="1"/>
    </row>
    <row r="455" spans="1:4" x14ac:dyDescent="0.25">
      <c r="A455" t="s">
        <v>54</v>
      </c>
      <c r="B455" t="s">
        <v>55</v>
      </c>
      <c r="C455" s="1"/>
    </row>
    <row r="456" spans="1:4" x14ac:dyDescent="0.25">
      <c r="A456" t="s">
        <v>54</v>
      </c>
      <c r="B456" t="s">
        <v>55</v>
      </c>
      <c r="C456" s="1"/>
    </row>
    <row r="457" spans="1:4" x14ac:dyDescent="0.25">
      <c r="A457" t="s">
        <v>54</v>
      </c>
      <c r="B457" t="s">
        <v>55</v>
      </c>
      <c r="C457" s="1"/>
    </row>
    <row r="458" spans="1:4" x14ac:dyDescent="0.25">
      <c r="A458" t="s">
        <v>54</v>
      </c>
      <c r="B458" t="s">
        <v>55</v>
      </c>
      <c r="C458" s="1"/>
    </row>
    <row r="459" spans="1:4" x14ac:dyDescent="0.25">
      <c r="A459" t="s">
        <v>54</v>
      </c>
      <c r="B459" t="s">
        <v>55</v>
      </c>
      <c r="C459" s="1"/>
    </row>
    <row r="460" spans="1:4" x14ac:dyDescent="0.25">
      <c r="A460" t="s">
        <v>54</v>
      </c>
      <c r="B460" t="s">
        <v>55</v>
      </c>
      <c r="C460" s="1"/>
      <c r="D460" s="4"/>
    </row>
    <row r="461" spans="1:4" x14ac:dyDescent="0.25">
      <c r="B461" t="s">
        <v>55</v>
      </c>
      <c r="C461" s="1"/>
      <c r="D461" s="4"/>
    </row>
    <row r="463" spans="1:4" x14ac:dyDescent="0.25">
      <c r="A463" t="s">
        <v>56</v>
      </c>
      <c r="B463" t="s">
        <v>57</v>
      </c>
      <c r="C463" s="2"/>
      <c r="D463" s="4"/>
    </row>
    <row r="464" spans="1:4" x14ac:dyDescent="0.25">
      <c r="A464" t="s">
        <v>56</v>
      </c>
      <c r="B464" t="s">
        <v>57</v>
      </c>
      <c r="C464" s="2"/>
    </row>
    <row r="465" spans="1:4" x14ac:dyDescent="0.25">
      <c r="A465" t="s">
        <v>56</v>
      </c>
      <c r="B465" t="s">
        <v>57</v>
      </c>
      <c r="C465" s="2"/>
    </row>
    <row r="466" spans="1:4" x14ac:dyDescent="0.25">
      <c r="A466" t="s">
        <v>56</v>
      </c>
      <c r="B466" t="s">
        <v>57</v>
      </c>
      <c r="C466" s="2"/>
    </row>
    <row r="467" spans="1:4" x14ac:dyDescent="0.25">
      <c r="A467" t="s">
        <v>56</v>
      </c>
      <c r="B467" t="s">
        <v>57</v>
      </c>
      <c r="C467" s="2"/>
    </row>
    <row r="468" spans="1:4" x14ac:dyDescent="0.25">
      <c r="A468" t="s">
        <v>56</v>
      </c>
      <c r="B468" t="s">
        <v>57</v>
      </c>
      <c r="C468" s="2"/>
    </row>
    <row r="469" spans="1:4" x14ac:dyDescent="0.25">
      <c r="A469" t="s">
        <v>56</v>
      </c>
      <c r="B469" t="s">
        <v>57</v>
      </c>
      <c r="C469" s="2"/>
    </row>
    <row r="470" spans="1:4" x14ac:dyDescent="0.25">
      <c r="A470" t="s">
        <v>56</v>
      </c>
      <c r="B470" t="s">
        <v>57</v>
      </c>
      <c r="C470" s="2"/>
    </row>
    <row r="471" spans="1:4" x14ac:dyDescent="0.25">
      <c r="A471" t="s">
        <v>56</v>
      </c>
      <c r="B471" t="s">
        <v>57</v>
      </c>
      <c r="C471" s="2"/>
    </row>
    <row r="472" spans="1:4" x14ac:dyDescent="0.25">
      <c r="A472" t="s">
        <v>56</v>
      </c>
      <c r="B472" t="s">
        <v>57</v>
      </c>
      <c r="C472" s="2"/>
    </row>
    <row r="473" spans="1:4" x14ac:dyDescent="0.25">
      <c r="A473" t="s">
        <v>56</v>
      </c>
      <c r="B473" t="s">
        <v>57</v>
      </c>
      <c r="C473" s="2"/>
    </row>
    <row r="474" spans="1:4" x14ac:dyDescent="0.25">
      <c r="A474" t="s">
        <v>56</v>
      </c>
      <c r="B474" t="s">
        <v>57</v>
      </c>
      <c r="C474" s="2"/>
      <c r="D474" s="4"/>
    </row>
    <row r="475" spans="1:4" x14ac:dyDescent="0.25">
      <c r="B475" t="s">
        <v>57</v>
      </c>
      <c r="C475" s="2"/>
      <c r="D475" s="4"/>
    </row>
    <row r="477" spans="1:4" x14ac:dyDescent="0.25">
      <c r="A477" t="s">
        <v>58</v>
      </c>
      <c r="B477" t="s">
        <v>59</v>
      </c>
      <c r="C477" s="2"/>
      <c r="D477" s="4"/>
    </row>
    <row r="478" spans="1:4" x14ac:dyDescent="0.25">
      <c r="A478" t="s">
        <v>58</v>
      </c>
      <c r="B478" t="s">
        <v>59</v>
      </c>
      <c r="C478" s="2"/>
    </row>
    <row r="479" spans="1:4" x14ac:dyDescent="0.25">
      <c r="A479" t="s">
        <v>58</v>
      </c>
      <c r="B479" t="s">
        <v>59</v>
      </c>
      <c r="C479" s="2"/>
    </row>
    <row r="480" spans="1:4" x14ac:dyDescent="0.25">
      <c r="A480" t="s">
        <v>58</v>
      </c>
      <c r="B480" t="s">
        <v>59</v>
      </c>
      <c r="C480" s="2"/>
    </row>
    <row r="481" spans="1:4" x14ac:dyDescent="0.25">
      <c r="A481" t="s">
        <v>58</v>
      </c>
      <c r="B481" t="s">
        <v>59</v>
      </c>
      <c r="C481" s="2"/>
    </row>
    <row r="482" spans="1:4" x14ac:dyDescent="0.25">
      <c r="A482" t="s">
        <v>58</v>
      </c>
      <c r="B482" t="s">
        <v>59</v>
      </c>
      <c r="C482" s="2"/>
    </row>
    <row r="483" spans="1:4" x14ac:dyDescent="0.25">
      <c r="A483" t="s">
        <v>58</v>
      </c>
      <c r="B483" t="s">
        <v>59</v>
      </c>
      <c r="C483" s="2"/>
    </row>
    <row r="484" spans="1:4" x14ac:dyDescent="0.25">
      <c r="A484" t="s">
        <v>58</v>
      </c>
      <c r="B484" t="s">
        <v>59</v>
      </c>
      <c r="C484" s="2"/>
    </row>
    <row r="485" spans="1:4" x14ac:dyDescent="0.25">
      <c r="A485" t="s">
        <v>58</v>
      </c>
      <c r="B485" t="s">
        <v>59</v>
      </c>
      <c r="C485" s="2"/>
    </row>
    <row r="486" spans="1:4" x14ac:dyDescent="0.25">
      <c r="A486" t="s">
        <v>58</v>
      </c>
      <c r="B486" t="s">
        <v>59</v>
      </c>
      <c r="C486" s="2"/>
    </row>
    <row r="487" spans="1:4" x14ac:dyDescent="0.25">
      <c r="A487" t="s">
        <v>58</v>
      </c>
      <c r="B487" t="s">
        <v>59</v>
      </c>
      <c r="C487" s="2"/>
    </row>
    <row r="488" spans="1:4" x14ac:dyDescent="0.25">
      <c r="A488" t="s">
        <v>58</v>
      </c>
      <c r="B488" t="s">
        <v>59</v>
      </c>
      <c r="C488" s="2"/>
      <c r="D488" s="4"/>
    </row>
    <row r="489" spans="1:4" x14ac:dyDescent="0.25">
      <c r="A489" t="s">
        <v>58</v>
      </c>
      <c r="B489" t="s">
        <v>59</v>
      </c>
      <c r="C489" s="2"/>
      <c r="D489" s="2"/>
    </row>
    <row r="490" spans="1:4" x14ac:dyDescent="0.25">
      <c r="A490" t="s">
        <v>58</v>
      </c>
      <c r="B490" t="s">
        <v>59</v>
      </c>
      <c r="C490" s="2"/>
      <c r="D490" s="2"/>
    </row>
    <row r="491" spans="1:4" x14ac:dyDescent="0.25">
      <c r="A491" t="s">
        <v>58</v>
      </c>
      <c r="B491" t="s">
        <v>59</v>
      </c>
      <c r="C491" s="2"/>
      <c r="D491" s="2"/>
    </row>
    <row r="492" spans="1:4" x14ac:dyDescent="0.25">
      <c r="A492" t="s">
        <v>58</v>
      </c>
      <c r="B492" t="s">
        <v>59</v>
      </c>
      <c r="C492" s="2"/>
      <c r="D492" s="2"/>
    </row>
    <row r="493" spans="1:4" x14ac:dyDescent="0.25">
      <c r="A493" t="s">
        <v>58</v>
      </c>
      <c r="B493" t="s">
        <v>59</v>
      </c>
      <c r="C493" s="2"/>
      <c r="D493" s="2"/>
    </row>
    <row r="494" spans="1:4" x14ac:dyDescent="0.25">
      <c r="A494" t="s">
        <v>58</v>
      </c>
      <c r="B494" t="s">
        <v>59</v>
      </c>
      <c r="C494" s="2"/>
      <c r="D494" s="2"/>
    </row>
    <row r="495" spans="1:4" x14ac:dyDescent="0.25">
      <c r="A495" t="s">
        <v>58</v>
      </c>
      <c r="B495" t="s">
        <v>59</v>
      </c>
      <c r="C495" s="2"/>
      <c r="D495" s="2"/>
    </row>
    <row r="496" spans="1:4" x14ac:dyDescent="0.25">
      <c r="A496" t="s">
        <v>58</v>
      </c>
      <c r="B496" t="s">
        <v>59</v>
      </c>
      <c r="C496" s="2"/>
      <c r="D496" s="2"/>
    </row>
    <row r="497" spans="1:4" x14ac:dyDescent="0.25">
      <c r="A497" t="s">
        <v>58</v>
      </c>
      <c r="B497" t="s">
        <v>59</v>
      </c>
      <c r="C497" s="2"/>
      <c r="D497" s="2"/>
    </row>
    <row r="498" spans="1:4" x14ac:dyDescent="0.25">
      <c r="A498" t="s">
        <v>58</v>
      </c>
      <c r="B498" t="s">
        <v>59</v>
      </c>
      <c r="C498" s="2"/>
      <c r="D498" s="2"/>
    </row>
    <row r="499" spans="1:4" x14ac:dyDescent="0.25">
      <c r="A499" t="s">
        <v>58</v>
      </c>
      <c r="B499" t="s">
        <v>59</v>
      </c>
      <c r="C499" s="2"/>
      <c r="D499" s="5"/>
    </row>
    <row r="500" spans="1:4" x14ac:dyDescent="0.25">
      <c r="A500" t="s">
        <v>58</v>
      </c>
      <c r="B500" t="s">
        <v>59</v>
      </c>
      <c r="C500" s="2"/>
      <c r="D500" s="2"/>
    </row>
    <row r="501" spans="1:4" x14ac:dyDescent="0.25">
      <c r="A501" t="s">
        <v>58</v>
      </c>
      <c r="B501" t="s">
        <v>59</v>
      </c>
      <c r="C501" s="2"/>
      <c r="D501" s="2"/>
    </row>
    <row r="502" spans="1:4" x14ac:dyDescent="0.25">
      <c r="A502" t="s">
        <v>58</v>
      </c>
      <c r="B502" t="s">
        <v>59</v>
      </c>
      <c r="C502" s="2"/>
      <c r="D502" s="2"/>
    </row>
    <row r="503" spans="1:4" x14ac:dyDescent="0.25">
      <c r="A503" t="s">
        <v>58</v>
      </c>
      <c r="B503" t="s">
        <v>59</v>
      </c>
      <c r="C503" s="2"/>
      <c r="D503" s="2"/>
    </row>
    <row r="504" spans="1:4" x14ac:dyDescent="0.25">
      <c r="A504" t="s">
        <v>58</v>
      </c>
      <c r="B504" t="s">
        <v>59</v>
      </c>
      <c r="C504" s="2"/>
      <c r="D504" s="2"/>
    </row>
    <row r="505" spans="1:4" x14ac:dyDescent="0.25">
      <c r="A505" t="s">
        <v>58</v>
      </c>
      <c r="B505" t="s">
        <v>59</v>
      </c>
      <c r="C505" s="2"/>
      <c r="D505" s="2"/>
    </row>
    <row r="506" spans="1:4" x14ac:dyDescent="0.25">
      <c r="A506" t="s">
        <v>58</v>
      </c>
      <c r="B506" t="s">
        <v>59</v>
      </c>
      <c r="C506" s="2"/>
      <c r="D506" s="2"/>
    </row>
    <row r="507" spans="1:4" x14ac:dyDescent="0.25">
      <c r="A507" t="s">
        <v>58</v>
      </c>
      <c r="B507" t="s">
        <v>59</v>
      </c>
      <c r="C507" s="2"/>
      <c r="D507" s="2"/>
    </row>
    <row r="508" spans="1:4" x14ac:dyDescent="0.25">
      <c r="A508" t="s">
        <v>58</v>
      </c>
      <c r="B508" t="s">
        <v>59</v>
      </c>
      <c r="C508" s="2"/>
      <c r="D508" s="2"/>
    </row>
    <row r="509" spans="1:4" x14ac:dyDescent="0.25">
      <c r="A509" t="s">
        <v>58</v>
      </c>
      <c r="B509" t="s">
        <v>59</v>
      </c>
      <c r="C509" s="2"/>
      <c r="D509" s="2"/>
    </row>
    <row r="510" spans="1:4" x14ac:dyDescent="0.25">
      <c r="A510" t="s">
        <v>58</v>
      </c>
      <c r="B510" t="s">
        <v>59</v>
      </c>
      <c r="C510" s="2"/>
      <c r="D510" s="4"/>
    </row>
    <row r="511" spans="1:4" x14ac:dyDescent="0.25">
      <c r="B511" t="s">
        <v>59</v>
      </c>
      <c r="C511" s="2"/>
      <c r="D511" s="4"/>
    </row>
    <row r="513" spans="1:4" x14ac:dyDescent="0.25">
      <c r="A513" t="s">
        <v>60</v>
      </c>
      <c r="B513" t="s">
        <v>61</v>
      </c>
      <c r="C513" s="2"/>
      <c r="D513" s="4"/>
    </row>
    <row r="514" spans="1:4" x14ac:dyDescent="0.25">
      <c r="A514" t="s">
        <v>60</v>
      </c>
      <c r="B514" t="s">
        <v>61</v>
      </c>
      <c r="C514" s="2"/>
    </row>
    <row r="515" spans="1:4" x14ac:dyDescent="0.25">
      <c r="A515" t="s">
        <v>60</v>
      </c>
      <c r="B515" t="s">
        <v>61</v>
      </c>
      <c r="C515" s="2"/>
    </row>
    <row r="516" spans="1:4" x14ac:dyDescent="0.25">
      <c r="A516" t="s">
        <v>60</v>
      </c>
      <c r="B516" t="s">
        <v>61</v>
      </c>
      <c r="C516" s="2"/>
    </row>
    <row r="517" spans="1:4" x14ac:dyDescent="0.25">
      <c r="A517" t="s">
        <v>60</v>
      </c>
      <c r="B517" t="s">
        <v>61</v>
      </c>
      <c r="C517" s="2"/>
    </row>
    <row r="518" spans="1:4" x14ac:dyDescent="0.25">
      <c r="A518" t="s">
        <v>60</v>
      </c>
      <c r="B518" t="s">
        <v>61</v>
      </c>
      <c r="C518" s="2"/>
    </row>
    <row r="519" spans="1:4" x14ac:dyDescent="0.25">
      <c r="A519" t="s">
        <v>60</v>
      </c>
      <c r="B519" t="s">
        <v>61</v>
      </c>
      <c r="C519" s="2"/>
    </row>
    <row r="520" spans="1:4" x14ac:dyDescent="0.25">
      <c r="A520" t="s">
        <v>60</v>
      </c>
      <c r="B520" t="s">
        <v>61</v>
      </c>
      <c r="C520" s="2"/>
    </row>
    <row r="521" spans="1:4" x14ac:dyDescent="0.25">
      <c r="A521" t="s">
        <v>60</v>
      </c>
      <c r="B521" t="s">
        <v>61</v>
      </c>
      <c r="C521" s="2"/>
    </row>
    <row r="522" spans="1:4" x14ac:dyDescent="0.25">
      <c r="A522" t="s">
        <v>60</v>
      </c>
      <c r="B522" t="s">
        <v>61</v>
      </c>
      <c r="C522" s="2"/>
    </row>
    <row r="523" spans="1:4" x14ac:dyDescent="0.25">
      <c r="A523" t="s">
        <v>60</v>
      </c>
      <c r="B523" t="s">
        <v>61</v>
      </c>
      <c r="C523" s="2"/>
    </row>
    <row r="524" spans="1:4" x14ac:dyDescent="0.25">
      <c r="A524" t="s">
        <v>60</v>
      </c>
      <c r="B524" t="s">
        <v>61</v>
      </c>
      <c r="C524" s="2"/>
      <c r="D524" s="4"/>
    </row>
    <row r="525" spans="1:4" x14ac:dyDescent="0.25">
      <c r="A525" t="s">
        <v>60</v>
      </c>
      <c r="B525" t="s">
        <v>61</v>
      </c>
      <c r="C525" s="2"/>
      <c r="D525" s="2"/>
    </row>
    <row r="526" spans="1:4" x14ac:dyDescent="0.25">
      <c r="A526" t="s">
        <v>60</v>
      </c>
      <c r="B526" t="s">
        <v>61</v>
      </c>
      <c r="C526" s="2"/>
      <c r="D526" s="2"/>
    </row>
    <row r="527" spans="1:4" x14ac:dyDescent="0.25">
      <c r="A527" t="s">
        <v>60</v>
      </c>
      <c r="B527" t="s">
        <v>61</v>
      </c>
      <c r="C527" s="2"/>
      <c r="D527" s="2"/>
    </row>
    <row r="528" spans="1:4" x14ac:dyDescent="0.25">
      <c r="A528" t="s">
        <v>60</v>
      </c>
      <c r="B528" t="s">
        <v>61</v>
      </c>
      <c r="C528" s="2"/>
      <c r="D528" s="2"/>
    </row>
    <row r="529" spans="1:4" x14ac:dyDescent="0.25">
      <c r="A529" t="s">
        <v>60</v>
      </c>
      <c r="B529" t="s">
        <v>61</v>
      </c>
      <c r="C529" s="2"/>
      <c r="D529" s="2"/>
    </row>
    <row r="530" spans="1:4" x14ac:dyDescent="0.25">
      <c r="A530" t="s">
        <v>60</v>
      </c>
      <c r="B530" t="s">
        <v>61</v>
      </c>
      <c r="C530" s="2"/>
      <c r="D530" s="2"/>
    </row>
    <row r="531" spans="1:4" x14ac:dyDescent="0.25">
      <c r="A531" t="s">
        <v>60</v>
      </c>
      <c r="B531" t="s">
        <v>61</v>
      </c>
      <c r="C531" s="2"/>
      <c r="D531" s="2"/>
    </row>
    <row r="532" spans="1:4" x14ac:dyDescent="0.25">
      <c r="A532" t="s">
        <v>60</v>
      </c>
      <c r="B532" t="s">
        <v>61</v>
      </c>
      <c r="C532" s="2"/>
      <c r="D532" s="2"/>
    </row>
    <row r="533" spans="1:4" x14ac:dyDescent="0.25">
      <c r="A533" t="s">
        <v>60</v>
      </c>
      <c r="B533" t="s">
        <v>61</v>
      </c>
      <c r="C533" s="2"/>
      <c r="D533" s="2"/>
    </row>
    <row r="534" spans="1:4" x14ac:dyDescent="0.25">
      <c r="A534" t="s">
        <v>60</v>
      </c>
      <c r="B534" t="s">
        <v>61</v>
      </c>
      <c r="C534" s="2"/>
      <c r="D534" s="2"/>
    </row>
    <row r="535" spans="1:4" x14ac:dyDescent="0.25">
      <c r="A535" t="s">
        <v>60</v>
      </c>
      <c r="B535" t="s">
        <v>61</v>
      </c>
      <c r="C535" s="2"/>
      <c r="D535" s="4"/>
    </row>
    <row r="536" spans="1:4" x14ac:dyDescent="0.25">
      <c r="A536" t="s">
        <v>60</v>
      </c>
      <c r="B536" t="s">
        <v>61</v>
      </c>
      <c r="C536" s="2"/>
      <c r="D536" s="2"/>
    </row>
    <row r="537" spans="1:4" x14ac:dyDescent="0.25">
      <c r="A537" t="s">
        <v>60</v>
      </c>
      <c r="B537" t="s">
        <v>61</v>
      </c>
      <c r="C537" s="2"/>
      <c r="D537" s="2"/>
    </row>
    <row r="538" spans="1:4" x14ac:dyDescent="0.25">
      <c r="A538" t="s">
        <v>60</v>
      </c>
      <c r="B538" t="s">
        <v>61</v>
      </c>
      <c r="C538" s="2"/>
      <c r="D538" s="2"/>
    </row>
    <row r="539" spans="1:4" x14ac:dyDescent="0.25">
      <c r="A539" t="s">
        <v>60</v>
      </c>
      <c r="B539" t="s">
        <v>61</v>
      </c>
      <c r="C539" s="2"/>
      <c r="D539" s="2"/>
    </row>
    <row r="540" spans="1:4" x14ac:dyDescent="0.25">
      <c r="A540" t="s">
        <v>60</v>
      </c>
      <c r="B540" t="s">
        <v>61</v>
      </c>
      <c r="C540" s="2"/>
      <c r="D540" s="2"/>
    </row>
    <row r="541" spans="1:4" x14ac:dyDescent="0.25">
      <c r="A541" t="s">
        <v>60</v>
      </c>
      <c r="B541" t="s">
        <v>61</v>
      </c>
      <c r="C541" s="2"/>
      <c r="D541" s="2"/>
    </row>
    <row r="542" spans="1:4" x14ac:dyDescent="0.25">
      <c r="A542" t="s">
        <v>60</v>
      </c>
      <c r="B542" t="s">
        <v>61</v>
      </c>
      <c r="C542" s="2"/>
      <c r="D542" s="2"/>
    </row>
    <row r="543" spans="1:4" x14ac:dyDescent="0.25">
      <c r="A543" t="s">
        <v>60</v>
      </c>
      <c r="B543" t="s">
        <v>61</v>
      </c>
      <c r="C543" s="2"/>
      <c r="D543" s="2"/>
    </row>
    <row r="544" spans="1:4" x14ac:dyDescent="0.25">
      <c r="A544" t="s">
        <v>60</v>
      </c>
      <c r="B544" t="s">
        <v>61</v>
      </c>
      <c r="C544" s="2"/>
      <c r="D544" s="2"/>
    </row>
    <row r="545" spans="1:4" x14ac:dyDescent="0.25">
      <c r="A545" t="s">
        <v>60</v>
      </c>
      <c r="B545" t="s">
        <v>61</v>
      </c>
      <c r="C545" s="2"/>
      <c r="D545" s="2"/>
    </row>
    <row r="546" spans="1:4" x14ac:dyDescent="0.25">
      <c r="A546" t="s">
        <v>60</v>
      </c>
      <c r="B546" t="s">
        <v>61</v>
      </c>
      <c r="C546" s="2"/>
      <c r="D546" s="4"/>
    </row>
    <row r="547" spans="1:4" x14ac:dyDescent="0.25">
      <c r="B547" t="s">
        <v>61</v>
      </c>
      <c r="C547" s="2"/>
      <c r="D547" s="4"/>
    </row>
    <row r="548" spans="1:4" x14ac:dyDescent="0.25">
      <c r="C548" s="2"/>
    </row>
    <row r="549" spans="1:4" x14ac:dyDescent="0.25">
      <c r="A549" t="s">
        <v>62</v>
      </c>
      <c r="B549" t="s">
        <v>63</v>
      </c>
      <c r="C549" s="2"/>
      <c r="D549" s="4"/>
    </row>
    <row r="550" spans="1:4" x14ac:dyDescent="0.25">
      <c r="A550" t="s">
        <v>62</v>
      </c>
      <c r="B550" t="s">
        <v>63</v>
      </c>
      <c r="C550" s="2"/>
    </row>
    <row r="551" spans="1:4" x14ac:dyDescent="0.25">
      <c r="A551" t="s">
        <v>62</v>
      </c>
      <c r="B551" t="s">
        <v>63</v>
      </c>
      <c r="C551" s="2"/>
    </row>
    <row r="552" spans="1:4" x14ac:dyDescent="0.25">
      <c r="A552" t="s">
        <v>62</v>
      </c>
      <c r="B552" t="s">
        <v>63</v>
      </c>
      <c r="C552" s="2"/>
    </row>
    <row r="553" spans="1:4" x14ac:dyDescent="0.25">
      <c r="A553" t="s">
        <v>62</v>
      </c>
      <c r="B553" t="s">
        <v>63</v>
      </c>
      <c r="C553" s="2"/>
    </row>
    <row r="554" spans="1:4" x14ac:dyDescent="0.25">
      <c r="A554" t="s">
        <v>62</v>
      </c>
      <c r="B554" t="s">
        <v>63</v>
      </c>
      <c r="C554" s="2"/>
    </row>
    <row r="555" spans="1:4" x14ac:dyDescent="0.25">
      <c r="A555" t="s">
        <v>62</v>
      </c>
      <c r="B555" t="s">
        <v>63</v>
      </c>
      <c r="C555" s="2"/>
    </row>
    <row r="556" spans="1:4" x14ac:dyDescent="0.25">
      <c r="A556" t="s">
        <v>62</v>
      </c>
      <c r="B556" t="s">
        <v>63</v>
      </c>
      <c r="C556" s="2"/>
    </row>
    <row r="557" spans="1:4" x14ac:dyDescent="0.25">
      <c r="A557" t="s">
        <v>62</v>
      </c>
      <c r="B557" t="s">
        <v>63</v>
      </c>
      <c r="C557" s="2"/>
    </row>
    <row r="558" spans="1:4" x14ac:dyDescent="0.25">
      <c r="A558" t="s">
        <v>62</v>
      </c>
      <c r="B558" t="s">
        <v>63</v>
      </c>
      <c r="C558" s="2"/>
    </row>
    <row r="559" spans="1:4" x14ac:dyDescent="0.25">
      <c r="A559" t="s">
        <v>62</v>
      </c>
      <c r="B559" t="s">
        <v>63</v>
      </c>
      <c r="C559" s="2"/>
    </row>
    <row r="560" spans="1:4" x14ac:dyDescent="0.25">
      <c r="A560" t="s">
        <v>62</v>
      </c>
      <c r="B560" t="s">
        <v>63</v>
      </c>
      <c r="C560" s="2"/>
      <c r="D560" s="4"/>
    </row>
    <row r="561" spans="1:4" x14ac:dyDescent="0.25">
      <c r="A561" t="s">
        <v>62</v>
      </c>
      <c r="B561" t="s">
        <v>63</v>
      </c>
      <c r="C561" s="2"/>
      <c r="D561" s="2"/>
    </row>
    <row r="562" spans="1:4" x14ac:dyDescent="0.25">
      <c r="A562" t="s">
        <v>62</v>
      </c>
      <c r="B562" t="s">
        <v>63</v>
      </c>
      <c r="C562" s="2"/>
      <c r="D562" s="2"/>
    </row>
    <row r="563" spans="1:4" x14ac:dyDescent="0.25">
      <c r="A563" t="s">
        <v>62</v>
      </c>
      <c r="B563" t="s">
        <v>63</v>
      </c>
      <c r="C563" s="2"/>
      <c r="D563" s="2"/>
    </row>
    <row r="564" spans="1:4" x14ac:dyDescent="0.25">
      <c r="A564" t="s">
        <v>62</v>
      </c>
      <c r="B564" t="s">
        <v>63</v>
      </c>
      <c r="C564" s="2"/>
      <c r="D564" s="2"/>
    </row>
    <row r="565" spans="1:4" x14ac:dyDescent="0.25">
      <c r="A565" t="s">
        <v>62</v>
      </c>
      <c r="B565" t="s">
        <v>63</v>
      </c>
      <c r="C565" s="2"/>
      <c r="D565" s="2"/>
    </row>
    <row r="566" spans="1:4" x14ac:dyDescent="0.25">
      <c r="A566" t="s">
        <v>62</v>
      </c>
      <c r="B566" t="s">
        <v>63</v>
      </c>
      <c r="C566" s="2"/>
      <c r="D566" s="2"/>
    </row>
    <row r="567" spans="1:4" x14ac:dyDescent="0.25">
      <c r="A567" t="s">
        <v>62</v>
      </c>
      <c r="B567" t="s">
        <v>63</v>
      </c>
      <c r="C567" s="2"/>
      <c r="D567" s="2"/>
    </row>
    <row r="568" spans="1:4" x14ac:dyDescent="0.25">
      <c r="A568" t="s">
        <v>62</v>
      </c>
      <c r="B568" t="s">
        <v>63</v>
      </c>
      <c r="C568" s="2"/>
      <c r="D568" s="2"/>
    </row>
    <row r="569" spans="1:4" x14ac:dyDescent="0.25">
      <c r="A569" t="s">
        <v>62</v>
      </c>
      <c r="B569" t="s">
        <v>63</v>
      </c>
      <c r="C569" s="2"/>
      <c r="D569" s="2"/>
    </row>
    <row r="570" spans="1:4" x14ac:dyDescent="0.25">
      <c r="A570" t="s">
        <v>62</v>
      </c>
      <c r="B570" t="s">
        <v>63</v>
      </c>
      <c r="C570" s="2"/>
      <c r="D570" s="2"/>
    </row>
    <row r="571" spans="1:4" x14ac:dyDescent="0.25">
      <c r="A571" t="s">
        <v>62</v>
      </c>
      <c r="B571" t="s">
        <v>63</v>
      </c>
      <c r="C571" s="2"/>
      <c r="D571" s="4"/>
    </row>
    <row r="572" spans="1:4" x14ac:dyDescent="0.25">
      <c r="A572" t="s">
        <v>62</v>
      </c>
      <c r="B572" t="s">
        <v>63</v>
      </c>
      <c r="C572" s="2"/>
      <c r="D572" s="2"/>
    </row>
    <row r="573" spans="1:4" x14ac:dyDescent="0.25">
      <c r="A573" t="s">
        <v>62</v>
      </c>
      <c r="B573" t="s">
        <v>63</v>
      </c>
      <c r="C573" s="2"/>
      <c r="D573" s="2"/>
    </row>
    <row r="574" spans="1:4" x14ac:dyDescent="0.25">
      <c r="A574" t="s">
        <v>62</v>
      </c>
      <c r="B574" t="s">
        <v>63</v>
      </c>
      <c r="C574" s="2"/>
      <c r="D574" s="2"/>
    </row>
    <row r="575" spans="1:4" x14ac:dyDescent="0.25">
      <c r="A575" t="s">
        <v>62</v>
      </c>
      <c r="B575" t="s">
        <v>63</v>
      </c>
      <c r="C575" s="2"/>
      <c r="D575" s="2"/>
    </row>
    <row r="576" spans="1:4" x14ac:dyDescent="0.25">
      <c r="A576" t="s">
        <v>62</v>
      </c>
      <c r="B576" t="s">
        <v>63</v>
      </c>
      <c r="C576" s="2"/>
      <c r="D576" s="2"/>
    </row>
    <row r="577" spans="1:4" x14ac:dyDescent="0.25">
      <c r="A577" t="s">
        <v>62</v>
      </c>
      <c r="B577" t="s">
        <v>63</v>
      </c>
      <c r="C577" s="2"/>
      <c r="D577" s="2"/>
    </row>
    <row r="578" spans="1:4" x14ac:dyDescent="0.25">
      <c r="A578" t="s">
        <v>62</v>
      </c>
      <c r="B578" t="s">
        <v>63</v>
      </c>
      <c r="C578" s="2"/>
      <c r="D578" s="2"/>
    </row>
    <row r="579" spans="1:4" x14ac:dyDescent="0.25">
      <c r="A579" t="s">
        <v>62</v>
      </c>
      <c r="B579" t="s">
        <v>63</v>
      </c>
      <c r="C579" s="2"/>
      <c r="D579" s="2"/>
    </row>
    <row r="580" spans="1:4" x14ac:dyDescent="0.25">
      <c r="A580" t="s">
        <v>62</v>
      </c>
      <c r="B580" t="s">
        <v>63</v>
      </c>
      <c r="C580" s="2"/>
      <c r="D580" s="2"/>
    </row>
    <row r="581" spans="1:4" x14ac:dyDescent="0.25">
      <c r="A581" t="s">
        <v>62</v>
      </c>
      <c r="B581" t="s">
        <v>63</v>
      </c>
      <c r="C581" s="2"/>
      <c r="D581" s="2"/>
    </row>
    <row r="582" spans="1:4" x14ac:dyDescent="0.25">
      <c r="A582" t="s">
        <v>62</v>
      </c>
      <c r="B582" t="s">
        <v>63</v>
      </c>
      <c r="C582" s="2"/>
      <c r="D582" s="4"/>
    </row>
    <row r="583" spans="1:4" x14ac:dyDescent="0.25">
      <c r="B583" t="s">
        <v>63</v>
      </c>
      <c r="C583" s="2"/>
      <c r="D583" s="4"/>
    </row>
    <row r="584" spans="1:4" x14ac:dyDescent="0.25">
      <c r="C584" s="2"/>
    </row>
    <row r="585" spans="1:4" x14ac:dyDescent="0.25">
      <c r="A585" t="s">
        <v>64</v>
      </c>
      <c r="B585" t="s">
        <v>65</v>
      </c>
      <c r="C585" s="2"/>
      <c r="D585" s="4"/>
    </row>
    <row r="586" spans="1:4" x14ac:dyDescent="0.25">
      <c r="A586" t="s">
        <v>64</v>
      </c>
      <c r="B586" t="s">
        <v>65</v>
      </c>
      <c r="C586" s="2"/>
    </row>
    <row r="587" spans="1:4" x14ac:dyDescent="0.25">
      <c r="A587" t="s">
        <v>64</v>
      </c>
      <c r="B587" t="s">
        <v>65</v>
      </c>
      <c r="C587" s="2"/>
    </row>
    <row r="588" spans="1:4" x14ac:dyDescent="0.25">
      <c r="A588" t="s">
        <v>64</v>
      </c>
      <c r="B588" t="s">
        <v>65</v>
      </c>
      <c r="C588" s="2"/>
    </row>
    <row r="589" spans="1:4" x14ac:dyDescent="0.25">
      <c r="A589" t="s">
        <v>64</v>
      </c>
      <c r="B589" t="s">
        <v>65</v>
      </c>
      <c r="C589" s="2"/>
    </row>
    <row r="590" spans="1:4" x14ac:dyDescent="0.25">
      <c r="A590" t="s">
        <v>64</v>
      </c>
      <c r="B590" t="s">
        <v>65</v>
      </c>
      <c r="C590" s="2"/>
    </row>
    <row r="591" spans="1:4" x14ac:dyDescent="0.25">
      <c r="A591" t="s">
        <v>64</v>
      </c>
      <c r="B591" t="s">
        <v>65</v>
      </c>
      <c r="C591" s="2"/>
    </row>
    <row r="592" spans="1:4" x14ac:dyDescent="0.25">
      <c r="A592" t="s">
        <v>64</v>
      </c>
      <c r="B592" t="s">
        <v>65</v>
      </c>
      <c r="C592" s="2"/>
    </row>
    <row r="593" spans="1:4" x14ac:dyDescent="0.25">
      <c r="A593" t="s">
        <v>64</v>
      </c>
      <c r="B593" t="s">
        <v>65</v>
      </c>
      <c r="C593" s="2"/>
    </row>
    <row r="594" spans="1:4" x14ac:dyDescent="0.25">
      <c r="A594" t="s">
        <v>64</v>
      </c>
      <c r="B594" t="s">
        <v>65</v>
      </c>
      <c r="C594" s="2"/>
    </row>
    <row r="595" spans="1:4" x14ac:dyDescent="0.25">
      <c r="A595" t="s">
        <v>64</v>
      </c>
      <c r="B595" t="s">
        <v>65</v>
      </c>
      <c r="C595" s="2"/>
    </row>
    <row r="596" spans="1:4" x14ac:dyDescent="0.25">
      <c r="A596" t="s">
        <v>64</v>
      </c>
      <c r="B596" t="s">
        <v>65</v>
      </c>
      <c r="C596" s="2"/>
      <c r="D596" s="4"/>
    </row>
    <row r="597" spans="1:4" x14ac:dyDescent="0.25">
      <c r="A597" t="s">
        <v>64</v>
      </c>
      <c r="B597" t="s">
        <v>65</v>
      </c>
      <c r="C597" s="2"/>
      <c r="D597" s="2"/>
    </row>
    <row r="598" spans="1:4" x14ac:dyDescent="0.25">
      <c r="A598" t="s">
        <v>64</v>
      </c>
      <c r="B598" t="s">
        <v>65</v>
      </c>
      <c r="C598" s="2"/>
      <c r="D598" s="2"/>
    </row>
    <row r="599" spans="1:4" x14ac:dyDescent="0.25">
      <c r="A599" t="s">
        <v>64</v>
      </c>
      <c r="B599" t="s">
        <v>65</v>
      </c>
      <c r="C599" s="2"/>
      <c r="D599" s="2"/>
    </row>
    <row r="600" spans="1:4" x14ac:dyDescent="0.25">
      <c r="A600" t="s">
        <v>64</v>
      </c>
      <c r="B600" t="s">
        <v>65</v>
      </c>
      <c r="C600" s="2"/>
      <c r="D600" s="2"/>
    </row>
    <row r="601" spans="1:4" x14ac:dyDescent="0.25">
      <c r="A601" t="s">
        <v>64</v>
      </c>
      <c r="B601" t="s">
        <v>65</v>
      </c>
      <c r="C601" s="2"/>
      <c r="D601" s="2"/>
    </row>
    <row r="602" spans="1:4" x14ac:dyDescent="0.25">
      <c r="A602" t="s">
        <v>64</v>
      </c>
      <c r="B602" t="s">
        <v>65</v>
      </c>
      <c r="C602" s="2"/>
      <c r="D602" s="2"/>
    </row>
    <row r="603" spans="1:4" x14ac:dyDescent="0.25">
      <c r="A603" t="s">
        <v>64</v>
      </c>
      <c r="B603" t="s">
        <v>65</v>
      </c>
      <c r="C603" s="2"/>
      <c r="D603" s="2"/>
    </row>
    <row r="604" spans="1:4" x14ac:dyDescent="0.25">
      <c r="A604" t="s">
        <v>64</v>
      </c>
      <c r="B604" t="s">
        <v>65</v>
      </c>
      <c r="C604" s="2"/>
      <c r="D604" s="2"/>
    </row>
    <row r="605" spans="1:4" x14ac:dyDescent="0.25">
      <c r="A605" t="s">
        <v>64</v>
      </c>
      <c r="B605" t="s">
        <v>65</v>
      </c>
      <c r="C605" s="2"/>
      <c r="D605" s="2"/>
    </row>
    <row r="606" spans="1:4" x14ac:dyDescent="0.25">
      <c r="A606" t="s">
        <v>64</v>
      </c>
      <c r="B606" t="s">
        <v>65</v>
      </c>
      <c r="C606" s="2"/>
      <c r="D606" s="2"/>
    </row>
    <row r="607" spans="1:4" x14ac:dyDescent="0.25">
      <c r="A607" t="s">
        <v>64</v>
      </c>
      <c r="B607" t="s">
        <v>65</v>
      </c>
      <c r="C607" s="2"/>
      <c r="D607" s="4"/>
    </row>
    <row r="608" spans="1:4" x14ac:dyDescent="0.25">
      <c r="A608" t="s">
        <v>64</v>
      </c>
      <c r="B608" t="s">
        <v>65</v>
      </c>
      <c r="C608" s="2"/>
      <c r="D608" s="2"/>
    </row>
    <row r="609" spans="1:4" x14ac:dyDescent="0.25">
      <c r="A609" t="s">
        <v>64</v>
      </c>
      <c r="B609" t="s">
        <v>65</v>
      </c>
      <c r="C609" s="2"/>
      <c r="D609" s="2"/>
    </row>
    <row r="610" spans="1:4" x14ac:dyDescent="0.25">
      <c r="A610" t="s">
        <v>64</v>
      </c>
      <c r="B610" t="s">
        <v>65</v>
      </c>
      <c r="C610" s="2"/>
      <c r="D610" s="2"/>
    </row>
    <row r="611" spans="1:4" x14ac:dyDescent="0.25">
      <c r="A611" t="s">
        <v>64</v>
      </c>
      <c r="B611" t="s">
        <v>65</v>
      </c>
      <c r="C611" s="2"/>
      <c r="D611" s="2"/>
    </row>
    <row r="612" spans="1:4" x14ac:dyDescent="0.25">
      <c r="A612" t="s">
        <v>64</v>
      </c>
      <c r="B612" t="s">
        <v>65</v>
      </c>
      <c r="C612" s="2"/>
      <c r="D612" s="2"/>
    </row>
    <row r="613" spans="1:4" x14ac:dyDescent="0.25">
      <c r="A613" t="s">
        <v>64</v>
      </c>
      <c r="B613" t="s">
        <v>65</v>
      </c>
      <c r="C613" s="2"/>
      <c r="D613" s="2"/>
    </row>
    <row r="614" spans="1:4" x14ac:dyDescent="0.25">
      <c r="A614" t="s">
        <v>64</v>
      </c>
      <c r="B614" t="s">
        <v>65</v>
      </c>
      <c r="C614" s="2"/>
      <c r="D614" s="2"/>
    </row>
    <row r="615" spans="1:4" x14ac:dyDescent="0.25">
      <c r="A615" t="s">
        <v>64</v>
      </c>
      <c r="B615" t="s">
        <v>65</v>
      </c>
      <c r="C615" s="2"/>
      <c r="D615" s="2"/>
    </row>
    <row r="616" spans="1:4" x14ac:dyDescent="0.25">
      <c r="A616" t="s">
        <v>64</v>
      </c>
      <c r="B616" t="s">
        <v>65</v>
      </c>
      <c r="C616" s="2"/>
      <c r="D616" s="2"/>
    </row>
    <row r="617" spans="1:4" x14ac:dyDescent="0.25">
      <c r="A617" t="s">
        <v>64</v>
      </c>
      <c r="B617" t="s">
        <v>65</v>
      </c>
      <c r="C617" s="2"/>
      <c r="D617" s="2"/>
    </row>
    <row r="618" spans="1:4" x14ac:dyDescent="0.25">
      <c r="A618" t="s">
        <v>64</v>
      </c>
      <c r="B618" t="s">
        <v>65</v>
      </c>
      <c r="C618" s="2"/>
      <c r="D618" s="4"/>
    </row>
    <row r="619" spans="1:4" x14ac:dyDescent="0.25">
      <c r="B619" t="s">
        <v>65</v>
      </c>
      <c r="C619" s="2"/>
      <c r="D619" s="4"/>
    </row>
    <row r="620" spans="1:4" x14ac:dyDescent="0.25">
      <c r="C620" s="2"/>
    </row>
    <row r="621" spans="1:4" x14ac:dyDescent="0.25">
      <c r="A621" t="s">
        <v>66</v>
      </c>
      <c r="B621" t="s">
        <v>67</v>
      </c>
      <c r="C621" s="2"/>
      <c r="D621" s="4"/>
    </row>
    <row r="622" spans="1:4" x14ac:dyDescent="0.25">
      <c r="A622" t="s">
        <v>66</v>
      </c>
      <c r="B622" t="s">
        <v>67</v>
      </c>
      <c r="C622" s="2"/>
    </row>
    <row r="623" spans="1:4" x14ac:dyDescent="0.25">
      <c r="A623" t="s">
        <v>66</v>
      </c>
      <c r="B623" t="s">
        <v>67</v>
      </c>
      <c r="C623" s="2"/>
    </row>
    <row r="624" spans="1:4" x14ac:dyDescent="0.25">
      <c r="A624" t="s">
        <v>66</v>
      </c>
      <c r="B624" t="s">
        <v>67</v>
      </c>
      <c r="C624" s="2"/>
    </row>
    <row r="625" spans="1:4" x14ac:dyDescent="0.25">
      <c r="A625" t="s">
        <v>66</v>
      </c>
      <c r="B625" t="s">
        <v>67</v>
      </c>
      <c r="C625" s="2"/>
    </row>
    <row r="626" spans="1:4" x14ac:dyDescent="0.25">
      <c r="A626" t="s">
        <v>66</v>
      </c>
      <c r="B626" t="s">
        <v>67</v>
      </c>
      <c r="C626" s="2"/>
    </row>
    <row r="627" spans="1:4" x14ac:dyDescent="0.25">
      <c r="A627" t="s">
        <v>66</v>
      </c>
      <c r="B627" t="s">
        <v>67</v>
      </c>
      <c r="C627" s="2"/>
    </row>
    <row r="628" spans="1:4" x14ac:dyDescent="0.25">
      <c r="A628" t="s">
        <v>66</v>
      </c>
      <c r="B628" t="s">
        <v>67</v>
      </c>
      <c r="C628" s="2"/>
    </row>
    <row r="629" spans="1:4" x14ac:dyDescent="0.25">
      <c r="A629" t="s">
        <v>66</v>
      </c>
      <c r="B629" t="s">
        <v>67</v>
      </c>
      <c r="C629" s="2"/>
    </row>
    <row r="630" spans="1:4" x14ac:dyDescent="0.25">
      <c r="A630" t="s">
        <v>66</v>
      </c>
      <c r="B630" t="s">
        <v>67</v>
      </c>
      <c r="C630" s="2"/>
    </row>
    <row r="631" spans="1:4" x14ac:dyDescent="0.25">
      <c r="A631" t="s">
        <v>66</v>
      </c>
      <c r="B631" t="s">
        <v>67</v>
      </c>
      <c r="C631" s="2"/>
    </row>
    <row r="632" spans="1:4" x14ac:dyDescent="0.25">
      <c r="A632" t="s">
        <v>66</v>
      </c>
      <c r="B632" t="s">
        <v>67</v>
      </c>
      <c r="C632" s="2"/>
      <c r="D632" s="4"/>
    </row>
    <row r="633" spans="1:4" x14ac:dyDescent="0.25">
      <c r="A633" t="s">
        <v>66</v>
      </c>
      <c r="B633" t="s">
        <v>67</v>
      </c>
      <c r="C633" s="2"/>
      <c r="D633" s="2"/>
    </row>
    <row r="634" spans="1:4" x14ac:dyDescent="0.25">
      <c r="A634" t="s">
        <v>66</v>
      </c>
      <c r="B634" t="s">
        <v>67</v>
      </c>
      <c r="C634" s="2"/>
      <c r="D634" s="2"/>
    </row>
    <row r="635" spans="1:4" x14ac:dyDescent="0.25">
      <c r="A635" t="s">
        <v>66</v>
      </c>
      <c r="B635" t="s">
        <v>67</v>
      </c>
      <c r="C635" s="2"/>
      <c r="D635" s="2"/>
    </row>
    <row r="636" spans="1:4" x14ac:dyDescent="0.25">
      <c r="A636" t="s">
        <v>66</v>
      </c>
      <c r="B636" t="s">
        <v>67</v>
      </c>
      <c r="C636" s="2"/>
      <c r="D636" s="2"/>
    </row>
    <row r="637" spans="1:4" x14ac:dyDescent="0.25">
      <c r="A637" t="s">
        <v>66</v>
      </c>
      <c r="B637" t="s">
        <v>67</v>
      </c>
      <c r="C637" s="2"/>
      <c r="D637" s="2"/>
    </row>
    <row r="638" spans="1:4" x14ac:dyDescent="0.25">
      <c r="A638" t="s">
        <v>66</v>
      </c>
      <c r="B638" t="s">
        <v>67</v>
      </c>
      <c r="C638" s="2"/>
      <c r="D638" s="2"/>
    </row>
    <row r="639" spans="1:4" x14ac:dyDescent="0.25">
      <c r="A639" t="s">
        <v>66</v>
      </c>
      <c r="B639" t="s">
        <v>67</v>
      </c>
      <c r="C639" s="2"/>
      <c r="D639" s="2"/>
    </row>
    <row r="640" spans="1:4" x14ac:dyDescent="0.25">
      <c r="A640" t="s">
        <v>66</v>
      </c>
      <c r="B640" t="s">
        <v>67</v>
      </c>
      <c r="C640" s="2"/>
      <c r="D640" s="2"/>
    </row>
    <row r="641" spans="1:4" x14ac:dyDescent="0.25">
      <c r="A641" t="s">
        <v>66</v>
      </c>
      <c r="B641" t="s">
        <v>67</v>
      </c>
      <c r="C641" s="2"/>
      <c r="D641" s="2"/>
    </row>
    <row r="642" spans="1:4" x14ac:dyDescent="0.25">
      <c r="A642" t="s">
        <v>66</v>
      </c>
      <c r="B642" t="s">
        <v>67</v>
      </c>
      <c r="C642" s="2"/>
      <c r="D642" s="2"/>
    </row>
    <row r="643" spans="1:4" x14ac:dyDescent="0.25">
      <c r="A643" t="s">
        <v>66</v>
      </c>
      <c r="B643" t="s">
        <v>67</v>
      </c>
      <c r="C643" s="2"/>
      <c r="D643" s="6"/>
    </row>
    <row r="644" spans="1:4" x14ac:dyDescent="0.25">
      <c r="A644" t="s">
        <v>66</v>
      </c>
      <c r="B644" t="s">
        <v>67</v>
      </c>
      <c r="C644" s="2"/>
      <c r="D644" s="2"/>
    </row>
    <row r="645" spans="1:4" x14ac:dyDescent="0.25">
      <c r="A645" t="s">
        <v>66</v>
      </c>
      <c r="B645" t="s">
        <v>67</v>
      </c>
      <c r="C645" s="2"/>
      <c r="D645" s="2"/>
    </row>
    <row r="646" spans="1:4" x14ac:dyDescent="0.25">
      <c r="A646" t="s">
        <v>66</v>
      </c>
      <c r="B646" t="s">
        <v>67</v>
      </c>
      <c r="C646" s="2"/>
      <c r="D646" s="2"/>
    </row>
    <row r="647" spans="1:4" x14ac:dyDescent="0.25">
      <c r="A647" t="s">
        <v>66</v>
      </c>
      <c r="B647" t="s">
        <v>67</v>
      </c>
      <c r="C647" s="2"/>
      <c r="D647" s="2"/>
    </row>
    <row r="648" spans="1:4" x14ac:dyDescent="0.25">
      <c r="A648" t="s">
        <v>66</v>
      </c>
      <c r="B648" t="s">
        <v>67</v>
      </c>
      <c r="C648" s="2"/>
      <c r="D648" s="2"/>
    </row>
    <row r="649" spans="1:4" x14ac:dyDescent="0.25">
      <c r="A649" t="s">
        <v>66</v>
      </c>
      <c r="B649" t="s">
        <v>67</v>
      </c>
      <c r="C649" s="2"/>
      <c r="D649" s="4"/>
    </row>
    <row r="650" spans="1:4" x14ac:dyDescent="0.25">
      <c r="B650" t="s">
        <v>67</v>
      </c>
      <c r="C650" s="2"/>
      <c r="D650" s="4"/>
    </row>
    <row r="651" spans="1:4" x14ac:dyDescent="0.25">
      <c r="C651" s="2"/>
    </row>
    <row r="652" spans="1:4" x14ac:dyDescent="0.25">
      <c r="A652" t="s">
        <v>68</v>
      </c>
      <c r="B652" t="s">
        <v>69</v>
      </c>
      <c r="C652" s="2"/>
      <c r="D652" s="4"/>
    </row>
    <row r="653" spans="1:4" x14ac:dyDescent="0.25">
      <c r="A653" t="s">
        <v>68</v>
      </c>
      <c r="B653" t="s">
        <v>69</v>
      </c>
      <c r="C653" s="2"/>
      <c r="D653" s="2"/>
    </row>
    <row r="654" spans="1:4" x14ac:dyDescent="0.25">
      <c r="A654" t="s">
        <v>68</v>
      </c>
      <c r="B654" t="s">
        <v>69</v>
      </c>
      <c r="C654" s="2"/>
      <c r="D654" s="2"/>
    </row>
    <row r="655" spans="1:4" x14ac:dyDescent="0.25">
      <c r="A655" t="s">
        <v>68</v>
      </c>
      <c r="B655" t="s">
        <v>69</v>
      </c>
      <c r="C655" s="2"/>
      <c r="D655" s="2"/>
    </row>
    <row r="656" spans="1:4" x14ac:dyDescent="0.25">
      <c r="A656" t="s">
        <v>68</v>
      </c>
      <c r="B656" t="s">
        <v>69</v>
      </c>
      <c r="C656" s="2"/>
      <c r="D656" s="2"/>
    </row>
    <row r="657" spans="1:4" x14ac:dyDescent="0.25">
      <c r="A657" t="s">
        <v>68</v>
      </c>
      <c r="B657" t="s">
        <v>69</v>
      </c>
      <c r="C657" s="2"/>
      <c r="D657" s="2"/>
    </row>
    <row r="658" spans="1:4" x14ac:dyDescent="0.25">
      <c r="A658" t="s">
        <v>68</v>
      </c>
      <c r="B658" t="s">
        <v>69</v>
      </c>
      <c r="C658" s="2"/>
      <c r="D658" s="2"/>
    </row>
    <row r="659" spans="1:4" x14ac:dyDescent="0.25">
      <c r="A659" t="s">
        <v>68</v>
      </c>
      <c r="B659" t="s">
        <v>69</v>
      </c>
      <c r="C659" s="2"/>
      <c r="D659" s="2"/>
    </row>
    <row r="660" spans="1:4" x14ac:dyDescent="0.25">
      <c r="A660" t="s">
        <v>68</v>
      </c>
      <c r="B660" t="s">
        <v>69</v>
      </c>
      <c r="C660" s="2"/>
      <c r="D660" s="2"/>
    </row>
    <row r="661" spans="1:4" x14ac:dyDescent="0.25">
      <c r="A661" t="s">
        <v>68</v>
      </c>
      <c r="B661" t="s">
        <v>69</v>
      </c>
      <c r="C661" s="2"/>
      <c r="D661" s="2"/>
    </row>
    <row r="662" spans="1:4" x14ac:dyDescent="0.25">
      <c r="A662" t="s">
        <v>68</v>
      </c>
      <c r="B662" t="s">
        <v>69</v>
      </c>
      <c r="C662" s="2"/>
      <c r="D662" s="2"/>
    </row>
    <row r="663" spans="1:4" x14ac:dyDescent="0.25">
      <c r="A663" t="s">
        <v>68</v>
      </c>
      <c r="B663" t="s">
        <v>69</v>
      </c>
      <c r="C663" s="2"/>
      <c r="D663" s="5"/>
    </row>
    <row r="664" spans="1:4" x14ac:dyDescent="0.25">
      <c r="A664" t="s">
        <v>68</v>
      </c>
      <c r="B664" t="s">
        <v>69</v>
      </c>
      <c r="C664" s="2"/>
      <c r="D664" s="2"/>
    </row>
    <row r="665" spans="1:4" x14ac:dyDescent="0.25">
      <c r="A665" t="s">
        <v>68</v>
      </c>
      <c r="B665" t="s">
        <v>69</v>
      </c>
      <c r="C665" s="2"/>
      <c r="D665" s="2"/>
    </row>
    <row r="666" spans="1:4" x14ac:dyDescent="0.25">
      <c r="A666" t="s">
        <v>68</v>
      </c>
      <c r="B666" t="s">
        <v>69</v>
      </c>
      <c r="C666" s="2"/>
      <c r="D666" s="2"/>
    </row>
    <row r="667" spans="1:4" x14ac:dyDescent="0.25">
      <c r="A667" t="s">
        <v>68</v>
      </c>
      <c r="B667" t="s">
        <v>69</v>
      </c>
      <c r="C667" s="2"/>
      <c r="D667" s="2"/>
    </row>
    <row r="668" spans="1:4" x14ac:dyDescent="0.25">
      <c r="A668" t="s">
        <v>68</v>
      </c>
      <c r="B668" t="s">
        <v>69</v>
      </c>
      <c r="C668" s="2"/>
      <c r="D668" s="2"/>
    </row>
    <row r="669" spans="1:4" x14ac:dyDescent="0.25">
      <c r="A669" t="s">
        <v>68</v>
      </c>
      <c r="B669" t="s">
        <v>69</v>
      </c>
      <c r="C669" s="2"/>
      <c r="D669" s="2"/>
    </row>
    <row r="670" spans="1:4" x14ac:dyDescent="0.25">
      <c r="A670" t="s">
        <v>68</v>
      </c>
      <c r="B670" t="s">
        <v>69</v>
      </c>
      <c r="C670" s="2"/>
      <c r="D670" s="2"/>
    </row>
    <row r="671" spans="1:4" x14ac:dyDescent="0.25">
      <c r="A671" t="s">
        <v>68</v>
      </c>
      <c r="B671" t="s">
        <v>69</v>
      </c>
      <c r="C671" s="2"/>
      <c r="D671" s="2"/>
    </row>
    <row r="672" spans="1:4" x14ac:dyDescent="0.25">
      <c r="A672" t="str">
        <f>A671</f>
        <v>PENSION LIFE SECURED FUND</v>
      </c>
      <c r="B672" t="s">
        <v>69</v>
      </c>
      <c r="C672" s="2"/>
      <c r="D672" s="2"/>
    </row>
    <row r="673" spans="1:4" x14ac:dyDescent="0.25">
      <c r="A673" t="str">
        <f>A672</f>
        <v>PENSION LIFE SECURED FUND</v>
      </c>
      <c r="B673" t="s">
        <v>69</v>
      </c>
      <c r="C673" s="2"/>
    </row>
    <row r="674" spans="1:4" x14ac:dyDescent="0.25">
      <c r="A674" t="str">
        <f>A672</f>
        <v>PENSION LIFE SECURED FUND</v>
      </c>
      <c r="B674" t="s">
        <v>69</v>
      </c>
      <c r="C674" s="2"/>
      <c r="D674" s="4"/>
    </row>
    <row r="675" spans="1:4" x14ac:dyDescent="0.25">
      <c r="B675" t="s">
        <v>69</v>
      </c>
      <c r="C675" s="2"/>
      <c r="D675" s="4"/>
    </row>
    <row r="676" spans="1:4" x14ac:dyDescent="0.25">
      <c r="C676" s="2"/>
    </row>
    <row r="677" spans="1:4" x14ac:dyDescent="0.25">
      <c r="A677" t="s">
        <v>70</v>
      </c>
      <c r="B677" t="s">
        <v>71</v>
      </c>
      <c r="C677" s="2"/>
      <c r="D677" s="4"/>
    </row>
    <row r="678" spans="1:4" x14ac:dyDescent="0.25">
      <c r="A678" t="s">
        <v>70</v>
      </c>
      <c r="B678" t="s">
        <v>71</v>
      </c>
      <c r="C678" s="2"/>
      <c r="D678" s="3"/>
    </row>
    <row r="679" spans="1:4" x14ac:dyDescent="0.25">
      <c r="A679" t="s">
        <v>70</v>
      </c>
      <c r="B679" t="s">
        <v>71</v>
      </c>
      <c r="C679" s="2"/>
    </row>
    <row r="680" spans="1:4" x14ac:dyDescent="0.25">
      <c r="A680" t="s">
        <v>70</v>
      </c>
      <c r="B680" t="s">
        <v>71</v>
      </c>
      <c r="C680" s="2"/>
    </row>
    <row r="681" spans="1:4" x14ac:dyDescent="0.25">
      <c r="A681" t="s">
        <v>70</v>
      </c>
      <c r="B681" t="s">
        <v>71</v>
      </c>
      <c r="C681" s="2"/>
    </row>
    <row r="682" spans="1:4" x14ac:dyDescent="0.25">
      <c r="A682" t="s">
        <v>70</v>
      </c>
      <c r="B682" t="s">
        <v>71</v>
      </c>
      <c r="C682" s="2"/>
    </row>
    <row r="683" spans="1:4" x14ac:dyDescent="0.25">
      <c r="A683" t="s">
        <v>70</v>
      </c>
      <c r="B683" t="s">
        <v>71</v>
      </c>
      <c r="C683" s="2"/>
    </row>
    <row r="684" spans="1:4" x14ac:dyDescent="0.25">
      <c r="A684" t="s">
        <v>70</v>
      </c>
      <c r="B684" t="s">
        <v>71</v>
      </c>
      <c r="C684" s="2"/>
    </row>
    <row r="685" spans="1:4" x14ac:dyDescent="0.25">
      <c r="A685" t="s">
        <v>70</v>
      </c>
      <c r="B685" t="s">
        <v>71</v>
      </c>
      <c r="C685" s="2"/>
    </row>
    <row r="686" spans="1:4" x14ac:dyDescent="0.25">
      <c r="A686" t="str">
        <f>A685</f>
        <v>DISCONTINUANCE FUND PENSION</v>
      </c>
      <c r="B686" t="s">
        <v>71</v>
      </c>
      <c r="C686" s="2"/>
    </row>
    <row r="687" spans="1:4" x14ac:dyDescent="0.25">
      <c r="A687" t="str">
        <f>A686</f>
        <v>DISCONTINUANCE FUND PENSION</v>
      </c>
      <c r="B687" t="s">
        <v>71</v>
      </c>
      <c r="C687" s="2"/>
    </row>
    <row r="688" spans="1:4" x14ac:dyDescent="0.25">
      <c r="A688" t="str">
        <f>A687</f>
        <v>DISCONTINUANCE FUND PENSION</v>
      </c>
      <c r="B688" t="s">
        <v>71</v>
      </c>
      <c r="C688" s="2"/>
      <c r="D688" s="4"/>
    </row>
    <row r="689" spans="1:4" x14ac:dyDescent="0.25">
      <c r="B689" t="s">
        <v>71</v>
      </c>
      <c r="C689" s="2"/>
      <c r="D689" s="4"/>
    </row>
    <row r="690" spans="1:4" x14ac:dyDescent="0.25">
      <c r="C690" s="2"/>
    </row>
    <row r="691" spans="1:4" x14ac:dyDescent="0.25">
      <c r="A691" t="s">
        <v>72</v>
      </c>
      <c r="B691" t="s">
        <v>73</v>
      </c>
      <c r="C691" s="2"/>
      <c r="D691" s="4"/>
    </row>
    <row r="692" spans="1:4" x14ac:dyDescent="0.25">
      <c r="A692" t="s">
        <v>72</v>
      </c>
      <c r="B692" t="s">
        <v>73</v>
      </c>
      <c r="C692" s="2"/>
    </row>
    <row r="693" spans="1:4" x14ac:dyDescent="0.25">
      <c r="A693" t="s">
        <v>72</v>
      </c>
      <c r="B693" t="s">
        <v>73</v>
      </c>
      <c r="C693" s="2"/>
    </row>
    <row r="694" spans="1:4" x14ac:dyDescent="0.25">
      <c r="A694" t="s">
        <v>72</v>
      </c>
      <c r="B694" t="s">
        <v>73</v>
      </c>
      <c r="C694" s="2"/>
    </row>
    <row r="695" spans="1:4" x14ac:dyDescent="0.25">
      <c r="A695" t="s">
        <v>72</v>
      </c>
      <c r="B695" t="s">
        <v>73</v>
      </c>
      <c r="C695" s="2"/>
    </row>
    <row r="696" spans="1:4" x14ac:dyDescent="0.25">
      <c r="A696" t="s">
        <v>72</v>
      </c>
      <c r="B696" t="s">
        <v>73</v>
      </c>
      <c r="C696" s="2"/>
    </row>
    <row r="697" spans="1:4" x14ac:dyDescent="0.25">
      <c r="A697" t="s">
        <v>72</v>
      </c>
      <c r="B697" t="s">
        <v>73</v>
      </c>
      <c r="C697" s="2"/>
    </row>
    <row r="698" spans="1:4" x14ac:dyDescent="0.25">
      <c r="A698" t="s">
        <v>72</v>
      </c>
      <c r="B698" t="s">
        <v>73</v>
      </c>
      <c r="C698" s="2"/>
    </row>
    <row r="699" spans="1:4" x14ac:dyDescent="0.25">
      <c r="A699" t="s">
        <v>72</v>
      </c>
      <c r="B699" t="s">
        <v>73</v>
      </c>
      <c r="C699" s="2"/>
    </row>
    <row r="700" spans="1:4" x14ac:dyDescent="0.25">
      <c r="A700" t="s">
        <v>72</v>
      </c>
      <c r="B700" t="s">
        <v>73</v>
      </c>
      <c r="C700" s="2"/>
    </row>
    <row r="701" spans="1:4" x14ac:dyDescent="0.25">
      <c r="A701" t="s">
        <v>72</v>
      </c>
      <c r="B701" t="s">
        <v>73</v>
      </c>
      <c r="C701" s="2"/>
    </row>
    <row r="702" spans="1:4" x14ac:dyDescent="0.25">
      <c r="A702" t="s">
        <v>72</v>
      </c>
      <c r="B702" t="s">
        <v>73</v>
      </c>
      <c r="C702" s="2"/>
      <c r="D702" s="4"/>
    </row>
    <row r="703" spans="1:4" x14ac:dyDescent="0.25">
      <c r="A703" t="s">
        <v>72</v>
      </c>
      <c r="B703" t="s">
        <v>73</v>
      </c>
      <c r="C703" s="2"/>
      <c r="D703" s="2"/>
    </row>
    <row r="704" spans="1:4" x14ac:dyDescent="0.25">
      <c r="A704" t="s">
        <v>72</v>
      </c>
      <c r="B704" t="s">
        <v>73</v>
      </c>
      <c r="C704" s="2"/>
      <c r="D704" s="2"/>
    </row>
    <row r="705" spans="1:4" x14ac:dyDescent="0.25">
      <c r="A705" t="s">
        <v>72</v>
      </c>
      <c r="B705" t="s">
        <v>73</v>
      </c>
      <c r="C705" s="2"/>
      <c r="D705" s="2"/>
    </row>
    <row r="706" spans="1:4" x14ac:dyDescent="0.25">
      <c r="A706" t="s">
        <v>72</v>
      </c>
      <c r="B706" t="s">
        <v>73</v>
      </c>
      <c r="C706" s="2"/>
      <c r="D706" s="2"/>
    </row>
    <row r="707" spans="1:4" x14ac:dyDescent="0.25">
      <c r="A707" t="s">
        <v>72</v>
      </c>
      <c r="B707" t="s">
        <v>73</v>
      </c>
      <c r="C707" s="2"/>
      <c r="D707" s="2"/>
    </row>
    <row r="708" spans="1:4" x14ac:dyDescent="0.25">
      <c r="A708" t="s">
        <v>72</v>
      </c>
      <c r="B708" t="s">
        <v>73</v>
      </c>
      <c r="C708" s="2"/>
      <c r="D708" s="2"/>
    </row>
    <row r="709" spans="1:4" x14ac:dyDescent="0.25">
      <c r="A709" t="s">
        <v>72</v>
      </c>
      <c r="B709" t="s">
        <v>73</v>
      </c>
      <c r="C709" s="2"/>
      <c r="D709" s="2"/>
    </row>
    <row r="710" spans="1:4" x14ac:dyDescent="0.25">
      <c r="A710" t="s">
        <v>72</v>
      </c>
      <c r="B710" t="s">
        <v>73</v>
      </c>
      <c r="C710" s="2"/>
      <c r="D710" s="2"/>
    </row>
    <row r="711" spans="1:4" x14ac:dyDescent="0.25">
      <c r="A711" t="s">
        <v>72</v>
      </c>
      <c r="B711" t="s">
        <v>73</v>
      </c>
      <c r="C711" s="2"/>
      <c r="D711" s="2"/>
    </row>
    <row r="712" spans="1:4" x14ac:dyDescent="0.25">
      <c r="A712" t="s">
        <v>72</v>
      </c>
      <c r="B712" t="s">
        <v>73</v>
      </c>
      <c r="C712" s="2"/>
      <c r="D712" s="2"/>
    </row>
    <row r="713" spans="1:4" x14ac:dyDescent="0.25">
      <c r="A713" t="s">
        <v>72</v>
      </c>
      <c r="B713" t="s">
        <v>73</v>
      </c>
      <c r="C713" s="2"/>
      <c r="D713" s="4"/>
    </row>
    <row r="714" spans="1:4" x14ac:dyDescent="0.25">
      <c r="A714" t="s">
        <v>72</v>
      </c>
      <c r="B714" t="s">
        <v>73</v>
      </c>
      <c r="C714" s="2"/>
      <c r="D714" s="2"/>
    </row>
    <row r="715" spans="1:4" x14ac:dyDescent="0.25">
      <c r="A715" t="s">
        <v>72</v>
      </c>
      <c r="B715" t="s">
        <v>73</v>
      </c>
      <c r="C715" s="2"/>
      <c r="D715" s="2"/>
    </row>
    <row r="716" spans="1:4" x14ac:dyDescent="0.25">
      <c r="A716" t="s">
        <v>72</v>
      </c>
      <c r="B716" t="s">
        <v>73</v>
      </c>
      <c r="C716" s="2"/>
      <c r="D716" s="2"/>
    </row>
    <row r="717" spans="1:4" x14ac:dyDescent="0.25">
      <c r="A717" t="s">
        <v>72</v>
      </c>
      <c r="B717" t="s">
        <v>73</v>
      </c>
      <c r="C717" s="2"/>
      <c r="D717" s="2"/>
    </row>
    <row r="718" spans="1:4" x14ac:dyDescent="0.25">
      <c r="A718" t="s">
        <v>72</v>
      </c>
      <c r="B718" t="s">
        <v>73</v>
      </c>
      <c r="C718" s="2"/>
      <c r="D718" s="2"/>
    </row>
    <row r="719" spans="1:4" x14ac:dyDescent="0.25">
      <c r="A719" t="s">
        <v>72</v>
      </c>
      <c r="B719" t="s">
        <v>73</v>
      </c>
      <c r="C719" s="2"/>
      <c r="D719" s="2"/>
    </row>
    <row r="720" spans="1:4" x14ac:dyDescent="0.25">
      <c r="A720" t="s">
        <v>72</v>
      </c>
      <c r="B720" t="s">
        <v>73</v>
      </c>
      <c r="C720" s="2"/>
      <c r="D720" s="2"/>
    </row>
    <row r="721" spans="1:4" x14ac:dyDescent="0.25">
      <c r="A721" t="s">
        <v>72</v>
      </c>
      <c r="B721" t="s">
        <v>73</v>
      </c>
      <c r="C721" s="2"/>
      <c r="D721" s="2"/>
    </row>
    <row r="722" spans="1:4" x14ac:dyDescent="0.25">
      <c r="A722" t="str">
        <f>A721</f>
        <v>GR GRATUITY GROWTH FUND</v>
      </c>
      <c r="B722" t="s">
        <v>73</v>
      </c>
      <c r="C722" s="2"/>
      <c r="D722" s="2"/>
    </row>
    <row r="723" spans="1:4" x14ac:dyDescent="0.25">
      <c r="A723" t="str">
        <f>A722</f>
        <v>GR GRATUITY GROWTH FUND</v>
      </c>
      <c r="B723" t="s">
        <v>73</v>
      </c>
      <c r="C723" s="2"/>
      <c r="D723" s="2"/>
    </row>
    <row r="724" spans="1:4" x14ac:dyDescent="0.25">
      <c r="A724" t="str">
        <f>A723</f>
        <v>GR GRATUITY GROWTH FUND</v>
      </c>
      <c r="B724" t="s">
        <v>73</v>
      </c>
      <c r="C724" s="2"/>
      <c r="D724" s="4"/>
    </row>
    <row r="725" spans="1:4" x14ac:dyDescent="0.25">
      <c r="B725" t="s">
        <v>73</v>
      </c>
      <c r="C725" s="2"/>
      <c r="D725" s="4"/>
    </row>
    <row r="726" spans="1:4" x14ac:dyDescent="0.25">
      <c r="C726" s="2"/>
    </row>
    <row r="727" spans="1:4" x14ac:dyDescent="0.25">
      <c r="A727" t="s">
        <v>74</v>
      </c>
      <c r="B727" t="s">
        <v>75</v>
      </c>
      <c r="C727" s="2"/>
      <c r="D727" s="4"/>
    </row>
    <row r="728" spans="1:4" x14ac:dyDescent="0.25">
      <c r="A728" t="s">
        <v>74</v>
      </c>
      <c r="B728" t="s">
        <v>75</v>
      </c>
      <c r="C728" s="2"/>
    </row>
    <row r="729" spans="1:4" x14ac:dyDescent="0.25">
      <c r="A729" t="s">
        <v>74</v>
      </c>
      <c r="B729" t="s">
        <v>75</v>
      </c>
      <c r="C729" s="2"/>
    </row>
    <row r="730" spans="1:4" x14ac:dyDescent="0.25">
      <c r="A730" t="s">
        <v>74</v>
      </c>
      <c r="B730" t="s">
        <v>75</v>
      </c>
      <c r="C730" s="2"/>
    </row>
    <row r="731" spans="1:4" x14ac:dyDescent="0.25">
      <c r="A731" t="s">
        <v>74</v>
      </c>
      <c r="B731" t="s">
        <v>75</v>
      </c>
      <c r="C731" s="2"/>
    </row>
    <row r="732" spans="1:4" x14ac:dyDescent="0.25">
      <c r="A732" t="s">
        <v>74</v>
      </c>
      <c r="B732" t="s">
        <v>75</v>
      </c>
      <c r="C732" s="2"/>
    </row>
    <row r="733" spans="1:4" x14ac:dyDescent="0.25">
      <c r="A733" t="s">
        <v>74</v>
      </c>
      <c r="B733" t="s">
        <v>75</v>
      </c>
      <c r="C733" s="2"/>
    </row>
    <row r="734" spans="1:4" x14ac:dyDescent="0.25">
      <c r="A734" t="s">
        <v>74</v>
      </c>
      <c r="B734" t="s">
        <v>75</v>
      </c>
      <c r="C734" s="2"/>
    </row>
    <row r="735" spans="1:4" x14ac:dyDescent="0.25">
      <c r="A735" t="s">
        <v>74</v>
      </c>
      <c r="B735" t="s">
        <v>75</v>
      </c>
      <c r="C735" s="2"/>
    </row>
    <row r="736" spans="1:4" x14ac:dyDescent="0.25">
      <c r="A736" t="s">
        <v>74</v>
      </c>
      <c r="B736" t="s">
        <v>75</v>
      </c>
      <c r="C736" s="2"/>
    </row>
    <row r="737" spans="1:4" x14ac:dyDescent="0.25">
      <c r="A737" t="s">
        <v>74</v>
      </c>
      <c r="B737" t="s">
        <v>75</v>
      </c>
      <c r="C737" s="2"/>
    </row>
    <row r="738" spans="1:4" x14ac:dyDescent="0.25">
      <c r="A738" t="s">
        <v>74</v>
      </c>
      <c r="B738" t="s">
        <v>75</v>
      </c>
      <c r="C738" s="2"/>
      <c r="D738" s="4"/>
    </row>
    <row r="739" spans="1:4" x14ac:dyDescent="0.25">
      <c r="A739" t="s">
        <v>74</v>
      </c>
      <c r="B739" t="s">
        <v>75</v>
      </c>
      <c r="C739" s="2"/>
      <c r="D739" s="2"/>
    </row>
    <row r="740" spans="1:4" x14ac:dyDescent="0.25">
      <c r="A740" t="s">
        <v>74</v>
      </c>
      <c r="B740" t="s">
        <v>75</v>
      </c>
      <c r="C740" s="2"/>
      <c r="D740" s="2"/>
    </row>
    <row r="741" spans="1:4" x14ac:dyDescent="0.25">
      <c r="A741" t="s">
        <v>74</v>
      </c>
      <c r="B741" t="s">
        <v>75</v>
      </c>
      <c r="C741" s="2"/>
      <c r="D741" s="2"/>
    </row>
    <row r="742" spans="1:4" x14ac:dyDescent="0.25">
      <c r="A742" t="s">
        <v>74</v>
      </c>
      <c r="B742" t="s">
        <v>75</v>
      </c>
      <c r="C742" s="2"/>
      <c r="D742" s="2"/>
    </row>
    <row r="743" spans="1:4" x14ac:dyDescent="0.25">
      <c r="A743" t="s">
        <v>74</v>
      </c>
      <c r="B743" t="s">
        <v>75</v>
      </c>
      <c r="C743" s="2"/>
      <c r="D743" s="2"/>
    </row>
    <row r="744" spans="1:4" x14ac:dyDescent="0.25">
      <c r="A744" t="s">
        <v>74</v>
      </c>
      <c r="B744" t="s">
        <v>75</v>
      </c>
      <c r="C744" s="2"/>
      <c r="D744" s="2"/>
    </row>
    <row r="745" spans="1:4" x14ac:dyDescent="0.25">
      <c r="A745" t="s">
        <v>74</v>
      </c>
      <c r="B745" t="s">
        <v>75</v>
      </c>
      <c r="C745" s="2"/>
      <c r="D745" s="2"/>
    </row>
    <row r="746" spans="1:4" x14ac:dyDescent="0.25">
      <c r="A746" t="s">
        <v>74</v>
      </c>
      <c r="B746" t="s">
        <v>75</v>
      </c>
      <c r="C746" s="2"/>
      <c r="D746" s="2"/>
    </row>
    <row r="747" spans="1:4" x14ac:dyDescent="0.25">
      <c r="A747" t="s">
        <v>74</v>
      </c>
      <c r="B747" t="s">
        <v>75</v>
      </c>
      <c r="C747" s="2"/>
      <c r="D747" s="2"/>
    </row>
    <row r="748" spans="1:4" x14ac:dyDescent="0.25">
      <c r="A748" t="s">
        <v>74</v>
      </c>
      <c r="B748" t="s">
        <v>75</v>
      </c>
      <c r="C748" s="2"/>
      <c r="D748" s="2"/>
    </row>
    <row r="749" spans="1:4" x14ac:dyDescent="0.25">
      <c r="A749" t="s">
        <v>74</v>
      </c>
      <c r="B749" t="s">
        <v>75</v>
      </c>
      <c r="C749" s="2"/>
      <c r="D749" s="4"/>
    </row>
    <row r="750" spans="1:4" x14ac:dyDescent="0.25">
      <c r="A750" t="s">
        <v>74</v>
      </c>
      <c r="B750" t="s">
        <v>75</v>
      </c>
      <c r="C750" s="2"/>
      <c r="D750" s="2"/>
    </row>
    <row r="751" spans="1:4" x14ac:dyDescent="0.25">
      <c r="A751" t="s">
        <v>74</v>
      </c>
      <c r="B751" t="s">
        <v>75</v>
      </c>
      <c r="C751" s="2"/>
      <c r="D751" s="2"/>
    </row>
    <row r="752" spans="1:4" x14ac:dyDescent="0.25">
      <c r="A752" t="s">
        <v>74</v>
      </c>
      <c r="B752" t="s">
        <v>75</v>
      </c>
      <c r="C752" s="2"/>
      <c r="D752" s="2"/>
    </row>
    <row r="753" spans="1:4" x14ac:dyDescent="0.25">
      <c r="A753" t="s">
        <v>74</v>
      </c>
      <c r="B753" t="s">
        <v>75</v>
      </c>
      <c r="C753" s="2"/>
      <c r="D753" s="2"/>
    </row>
    <row r="754" spans="1:4" x14ac:dyDescent="0.25">
      <c r="A754" t="s">
        <v>74</v>
      </c>
      <c r="B754" t="s">
        <v>75</v>
      </c>
      <c r="C754" s="2"/>
      <c r="D754" s="2"/>
    </row>
    <row r="755" spans="1:4" x14ac:dyDescent="0.25">
      <c r="A755" t="s">
        <v>74</v>
      </c>
      <c r="B755" t="s">
        <v>75</v>
      </c>
      <c r="C755" s="2"/>
      <c r="D755" s="2"/>
    </row>
    <row r="756" spans="1:4" x14ac:dyDescent="0.25">
      <c r="A756" t="s">
        <v>74</v>
      </c>
      <c r="B756" t="s">
        <v>75</v>
      </c>
      <c r="C756" s="2"/>
      <c r="D756" s="2"/>
    </row>
    <row r="757" spans="1:4" x14ac:dyDescent="0.25">
      <c r="A757" t="s">
        <v>74</v>
      </c>
      <c r="B757" t="s">
        <v>75</v>
      </c>
      <c r="C757" s="2"/>
      <c r="D757" s="2"/>
    </row>
    <row r="758" spans="1:4" x14ac:dyDescent="0.25">
      <c r="A758" t="str">
        <f>A757</f>
        <v>GR GRATUITY BALANCED FUND</v>
      </c>
      <c r="B758" t="s">
        <v>75</v>
      </c>
      <c r="C758" s="2"/>
      <c r="D758" s="2"/>
    </row>
    <row r="759" spans="1:4" x14ac:dyDescent="0.25">
      <c r="A759" t="str">
        <f>A758</f>
        <v>GR GRATUITY BALANCED FUND</v>
      </c>
      <c r="B759" t="s">
        <v>75</v>
      </c>
      <c r="C759" s="2"/>
      <c r="D759" s="2"/>
    </row>
    <row r="760" spans="1:4" x14ac:dyDescent="0.25">
      <c r="A760" t="str">
        <f>A759</f>
        <v>GR GRATUITY BALANCED FUND</v>
      </c>
      <c r="B760" t="s">
        <v>75</v>
      </c>
      <c r="C760" s="2"/>
      <c r="D760" s="4"/>
    </row>
    <row r="761" spans="1:4" x14ac:dyDescent="0.25">
      <c r="B761" t="s">
        <v>75</v>
      </c>
      <c r="C761" s="2"/>
      <c r="D761" s="4"/>
    </row>
    <row r="762" spans="1:4" x14ac:dyDescent="0.25">
      <c r="C762" s="2"/>
    </row>
    <row r="763" spans="1:4" x14ac:dyDescent="0.25">
      <c r="A763" t="s">
        <v>76</v>
      </c>
      <c r="B763" t="s">
        <v>77</v>
      </c>
      <c r="C763" s="2"/>
      <c r="D763" s="4"/>
    </row>
    <row r="764" spans="1:4" x14ac:dyDescent="0.25">
      <c r="A764" t="s">
        <v>76</v>
      </c>
      <c r="B764" t="s">
        <v>77</v>
      </c>
      <c r="C764" s="2"/>
      <c r="D764" s="2"/>
    </row>
    <row r="765" spans="1:4" x14ac:dyDescent="0.25">
      <c r="A765" t="s">
        <v>76</v>
      </c>
      <c r="B765" t="s">
        <v>77</v>
      </c>
      <c r="C765" s="2"/>
      <c r="D765" s="2"/>
    </row>
    <row r="766" spans="1:4" x14ac:dyDescent="0.25">
      <c r="A766" t="s">
        <v>76</v>
      </c>
      <c r="B766" t="s">
        <v>77</v>
      </c>
      <c r="C766" s="2"/>
      <c r="D766" s="2"/>
    </row>
    <row r="767" spans="1:4" x14ac:dyDescent="0.25">
      <c r="A767" t="s">
        <v>76</v>
      </c>
      <c r="B767" t="s">
        <v>77</v>
      </c>
      <c r="C767" s="2"/>
      <c r="D767" s="2"/>
    </row>
    <row r="768" spans="1:4" x14ac:dyDescent="0.25">
      <c r="A768" t="s">
        <v>76</v>
      </c>
      <c r="B768" t="s">
        <v>77</v>
      </c>
      <c r="C768" s="2"/>
      <c r="D768" s="2"/>
    </row>
    <row r="769" spans="1:4" x14ac:dyDescent="0.25">
      <c r="A769" t="s">
        <v>76</v>
      </c>
      <c r="B769" t="s">
        <v>77</v>
      </c>
      <c r="C769" s="2"/>
      <c r="D769" s="2"/>
    </row>
    <row r="770" spans="1:4" x14ac:dyDescent="0.25">
      <c r="A770" t="s">
        <v>76</v>
      </c>
      <c r="B770" t="s">
        <v>77</v>
      </c>
      <c r="C770" s="2"/>
      <c r="D770" s="2"/>
    </row>
    <row r="771" spans="1:4" x14ac:dyDescent="0.25">
      <c r="A771" t="s">
        <v>76</v>
      </c>
      <c r="B771" t="s">
        <v>77</v>
      </c>
      <c r="C771" s="2"/>
      <c r="D771" s="2"/>
    </row>
    <row r="772" spans="1:4" x14ac:dyDescent="0.25">
      <c r="A772" t="s">
        <v>76</v>
      </c>
      <c r="B772" t="s">
        <v>77</v>
      </c>
      <c r="C772" s="2"/>
      <c r="D772" s="2"/>
    </row>
    <row r="773" spans="1:4" x14ac:dyDescent="0.25">
      <c r="A773" t="s">
        <v>76</v>
      </c>
      <c r="B773" t="s">
        <v>77</v>
      </c>
      <c r="C773" s="2"/>
      <c r="D773" s="2"/>
    </row>
    <row r="774" spans="1:4" x14ac:dyDescent="0.25">
      <c r="A774" t="s">
        <v>76</v>
      </c>
      <c r="B774" t="s">
        <v>77</v>
      </c>
      <c r="C774" s="2"/>
      <c r="D774" s="5"/>
    </row>
    <row r="775" spans="1:4" x14ac:dyDescent="0.25">
      <c r="A775" t="s">
        <v>76</v>
      </c>
      <c r="B775" t="s">
        <v>77</v>
      </c>
      <c r="C775" s="2"/>
      <c r="D775" s="2"/>
    </row>
    <row r="776" spans="1:4" x14ac:dyDescent="0.25">
      <c r="A776" t="s">
        <v>76</v>
      </c>
      <c r="B776" t="s">
        <v>77</v>
      </c>
      <c r="C776" s="2"/>
      <c r="D776" s="2"/>
    </row>
    <row r="777" spans="1:4" x14ac:dyDescent="0.25">
      <c r="A777" t="s">
        <v>76</v>
      </c>
      <c r="B777" t="s">
        <v>77</v>
      </c>
      <c r="C777" s="2"/>
      <c r="D777" s="2"/>
    </row>
    <row r="778" spans="1:4" x14ac:dyDescent="0.25">
      <c r="A778" t="s">
        <v>76</v>
      </c>
      <c r="B778" t="s">
        <v>77</v>
      </c>
      <c r="C778" s="2"/>
      <c r="D778" s="2"/>
    </row>
    <row r="779" spans="1:4" x14ac:dyDescent="0.25">
      <c r="A779" t="s">
        <v>76</v>
      </c>
      <c r="B779" t="s">
        <v>77</v>
      </c>
      <c r="C779" s="2"/>
      <c r="D779" s="2"/>
    </row>
    <row r="780" spans="1:4" x14ac:dyDescent="0.25">
      <c r="A780" t="s">
        <v>76</v>
      </c>
      <c r="B780" t="s">
        <v>77</v>
      </c>
      <c r="C780" s="2"/>
      <c r="D780" s="2"/>
    </row>
    <row r="781" spans="1:4" x14ac:dyDescent="0.25">
      <c r="A781" t="s">
        <v>76</v>
      </c>
      <c r="B781" t="s">
        <v>77</v>
      </c>
      <c r="C781" s="2"/>
      <c r="D781" s="2"/>
    </row>
    <row r="782" spans="1:4" x14ac:dyDescent="0.25">
      <c r="A782" t="s">
        <v>76</v>
      </c>
      <c r="B782" t="s">
        <v>77</v>
      </c>
      <c r="C782" s="2"/>
      <c r="D782" s="2"/>
    </row>
    <row r="783" spans="1:4" x14ac:dyDescent="0.25">
      <c r="A783" t="str">
        <f>A782</f>
        <v>GROUP GRATUITY BOND FUND.</v>
      </c>
      <c r="B783" t="s">
        <v>77</v>
      </c>
      <c r="C783" s="2"/>
      <c r="D783" s="2"/>
    </row>
    <row r="784" spans="1:4" x14ac:dyDescent="0.25">
      <c r="A784" t="str">
        <f>A783</f>
        <v>GROUP GRATUITY BOND FUND.</v>
      </c>
      <c r="B784" t="s">
        <v>77</v>
      </c>
      <c r="C784" s="2"/>
      <c r="D784" s="2"/>
    </row>
    <row r="785" spans="1:4" x14ac:dyDescent="0.25">
      <c r="A785" t="str">
        <f>A784</f>
        <v>GROUP GRATUITY BOND FUND.</v>
      </c>
      <c r="B785" t="s">
        <v>77</v>
      </c>
      <c r="C785" s="2"/>
      <c r="D785" s="4"/>
    </row>
    <row r="786" spans="1:4" x14ac:dyDescent="0.25">
      <c r="B786" t="s">
        <v>77</v>
      </c>
      <c r="C786" s="2"/>
      <c r="D786" s="4"/>
    </row>
    <row r="788" spans="1:4" x14ac:dyDescent="0.25">
      <c r="A788" t="s">
        <v>78</v>
      </c>
      <c r="B788" t="s">
        <v>79</v>
      </c>
      <c r="C788" s="2"/>
      <c r="D788" s="4"/>
    </row>
    <row r="789" spans="1:4" x14ac:dyDescent="0.25">
      <c r="A789" t="s">
        <v>78</v>
      </c>
      <c r="B789" t="s">
        <v>79</v>
      </c>
      <c r="C789" s="2"/>
      <c r="D789" s="2"/>
    </row>
    <row r="790" spans="1:4" x14ac:dyDescent="0.25">
      <c r="A790" t="s">
        <v>78</v>
      </c>
      <c r="B790" t="s">
        <v>79</v>
      </c>
      <c r="C790" s="2"/>
      <c r="D790" s="2"/>
    </row>
    <row r="791" spans="1:4" x14ac:dyDescent="0.25">
      <c r="A791" t="s">
        <v>78</v>
      </c>
      <c r="B791" t="s">
        <v>79</v>
      </c>
      <c r="C791" s="2"/>
      <c r="D791" s="2"/>
    </row>
    <row r="792" spans="1:4" x14ac:dyDescent="0.25">
      <c r="A792" t="s">
        <v>78</v>
      </c>
      <c r="B792" t="s">
        <v>79</v>
      </c>
      <c r="C792" s="2"/>
      <c r="D792" s="2"/>
    </row>
    <row r="793" spans="1:4" x14ac:dyDescent="0.25">
      <c r="A793" t="s">
        <v>78</v>
      </c>
      <c r="B793" t="s">
        <v>79</v>
      </c>
      <c r="C793" s="2"/>
      <c r="D793" s="2"/>
    </row>
    <row r="794" spans="1:4" x14ac:dyDescent="0.25">
      <c r="A794" t="s">
        <v>78</v>
      </c>
      <c r="B794" t="s">
        <v>79</v>
      </c>
      <c r="C794" s="2"/>
      <c r="D794" s="2"/>
    </row>
    <row r="795" spans="1:4" x14ac:dyDescent="0.25">
      <c r="A795" t="s">
        <v>78</v>
      </c>
      <c r="B795" t="s">
        <v>79</v>
      </c>
      <c r="C795" s="2"/>
      <c r="D795" s="2"/>
    </row>
    <row r="796" spans="1:4" x14ac:dyDescent="0.25">
      <c r="A796" t="s">
        <v>78</v>
      </c>
      <c r="B796" t="s">
        <v>79</v>
      </c>
      <c r="C796" s="2"/>
      <c r="D796" s="2"/>
    </row>
    <row r="797" spans="1:4" x14ac:dyDescent="0.25">
      <c r="A797" t="s">
        <v>78</v>
      </c>
      <c r="B797" t="s">
        <v>79</v>
      </c>
      <c r="C797" s="2"/>
      <c r="D797" s="2"/>
    </row>
    <row r="798" spans="1:4" x14ac:dyDescent="0.25">
      <c r="A798" t="s">
        <v>78</v>
      </c>
      <c r="B798" t="s">
        <v>79</v>
      </c>
      <c r="C798" s="2"/>
      <c r="D798" s="2"/>
    </row>
    <row r="799" spans="1:4" x14ac:dyDescent="0.25">
      <c r="A799" t="s">
        <v>78</v>
      </c>
      <c r="B799" t="s">
        <v>79</v>
      </c>
      <c r="C799" s="2"/>
      <c r="D799" s="5"/>
    </row>
    <row r="800" spans="1:4" x14ac:dyDescent="0.25">
      <c r="A800" t="s">
        <v>78</v>
      </c>
      <c r="B800" t="s">
        <v>79</v>
      </c>
      <c r="C800" s="2"/>
      <c r="D800" s="2"/>
    </row>
    <row r="801" spans="1:4" x14ac:dyDescent="0.25">
      <c r="A801" t="s">
        <v>78</v>
      </c>
      <c r="B801" t="s">
        <v>79</v>
      </c>
      <c r="C801" s="2"/>
      <c r="D801" s="2"/>
    </row>
    <row r="802" spans="1:4" x14ac:dyDescent="0.25">
      <c r="A802" t="s">
        <v>78</v>
      </c>
      <c r="B802" t="s">
        <v>79</v>
      </c>
      <c r="C802" s="2"/>
      <c r="D802" s="2"/>
    </row>
    <row r="803" spans="1:4" x14ac:dyDescent="0.25">
      <c r="A803" t="s">
        <v>78</v>
      </c>
      <c r="B803" t="s">
        <v>79</v>
      </c>
      <c r="C803" s="2"/>
      <c r="D803" s="2"/>
    </row>
    <row r="804" spans="1:4" x14ac:dyDescent="0.25">
      <c r="A804" t="s">
        <v>78</v>
      </c>
      <c r="B804" t="s">
        <v>79</v>
      </c>
      <c r="C804" s="2"/>
      <c r="D804" s="2"/>
    </row>
    <row r="805" spans="1:4" x14ac:dyDescent="0.25">
      <c r="A805" t="s">
        <v>78</v>
      </c>
      <c r="B805" t="s">
        <v>79</v>
      </c>
      <c r="C805" s="2"/>
      <c r="D805" s="2"/>
    </row>
    <row r="806" spans="1:4" x14ac:dyDescent="0.25">
      <c r="A806" t="s">
        <v>78</v>
      </c>
      <c r="B806" t="s">
        <v>79</v>
      </c>
      <c r="C806" s="2"/>
      <c r="D806" s="2"/>
    </row>
    <row r="807" spans="1:4" x14ac:dyDescent="0.25">
      <c r="A807" t="s">
        <v>78</v>
      </c>
      <c r="B807" t="s">
        <v>79</v>
      </c>
      <c r="C807" s="2"/>
      <c r="D807" s="2"/>
    </row>
    <row r="808" spans="1:4" x14ac:dyDescent="0.25">
      <c r="A808" t="str">
        <f>A807</f>
        <v>GR GRATUITY CONSERVATIVE FUND</v>
      </c>
      <c r="B808" t="s">
        <v>79</v>
      </c>
      <c r="C808" s="2"/>
      <c r="D808" s="2"/>
    </row>
    <row r="809" spans="1:4" x14ac:dyDescent="0.25">
      <c r="A809" t="str">
        <f>A808</f>
        <v>GR GRATUITY CONSERVATIVE FUND</v>
      </c>
      <c r="B809" t="s">
        <v>79</v>
      </c>
      <c r="C809" s="2"/>
    </row>
    <row r="810" spans="1:4" x14ac:dyDescent="0.25">
      <c r="A810" t="str">
        <f>A809</f>
        <v>GR GRATUITY CONSERVATIVE FUND</v>
      </c>
      <c r="B810" t="s">
        <v>79</v>
      </c>
      <c r="C810" s="2"/>
      <c r="D810" s="4"/>
    </row>
    <row r="811" spans="1:4" x14ac:dyDescent="0.25">
      <c r="B811" t="s">
        <v>79</v>
      </c>
      <c r="C811" s="2"/>
      <c r="D811" s="4"/>
    </row>
    <row r="813" spans="1:4" x14ac:dyDescent="0.25">
      <c r="A813" t="s">
        <v>80</v>
      </c>
      <c r="B813" t="s">
        <v>81</v>
      </c>
      <c r="C813" s="2"/>
      <c r="D813" s="4"/>
    </row>
    <row r="814" spans="1:4" x14ac:dyDescent="0.25">
      <c r="A814" t="s">
        <v>80</v>
      </c>
      <c r="B814" t="s">
        <v>81</v>
      </c>
      <c r="C814" s="2"/>
      <c r="D814" s="3"/>
    </row>
    <row r="815" spans="1:4" x14ac:dyDescent="0.25">
      <c r="A815" t="s">
        <v>80</v>
      </c>
      <c r="B815" t="s">
        <v>81</v>
      </c>
      <c r="C815" s="2"/>
    </row>
    <row r="816" spans="1:4" x14ac:dyDescent="0.25">
      <c r="A816" t="s">
        <v>80</v>
      </c>
      <c r="B816" t="s">
        <v>81</v>
      </c>
      <c r="C816" s="2"/>
    </row>
    <row r="817" spans="1:4" x14ac:dyDescent="0.25">
      <c r="A817" t="s">
        <v>80</v>
      </c>
      <c r="B817" t="s">
        <v>81</v>
      </c>
      <c r="C817" s="2"/>
    </row>
    <row r="818" spans="1:4" x14ac:dyDescent="0.25">
      <c r="A818" t="s">
        <v>80</v>
      </c>
      <c r="B818" t="s">
        <v>81</v>
      </c>
      <c r="C818" s="2"/>
    </row>
    <row r="819" spans="1:4" x14ac:dyDescent="0.25">
      <c r="A819" t="s">
        <v>80</v>
      </c>
      <c r="B819" t="s">
        <v>81</v>
      </c>
      <c r="C819" s="2"/>
    </row>
    <row r="820" spans="1:4" x14ac:dyDescent="0.25">
      <c r="A820" t="s">
        <v>80</v>
      </c>
      <c r="B820" t="s">
        <v>81</v>
      </c>
      <c r="C820" s="2"/>
    </row>
    <row r="821" spans="1:4" x14ac:dyDescent="0.25">
      <c r="A821" t="s">
        <v>80</v>
      </c>
      <c r="B821" t="s">
        <v>81</v>
      </c>
      <c r="C821" s="2"/>
    </row>
    <row r="822" spans="1:4" x14ac:dyDescent="0.25">
      <c r="A822" t="s">
        <v>80</v>
      </c>
      <c r="B822" t="s">
        <v>81</v>
      </c>
      <c r="C822" s="2"/>
    </row>
    <row r="823" spans="1:4" x14ac:dyDescent="0.25">
      <c r="A823" t="s">
        <v>80</v>
      </c>
      <c r="B823" t="s">
        <v>81</v>
      </c>
      <c r="C823" s="2"/>
    </row>
    <row r="824" spans="1:4" x14ac:dyDescent="0.25">
      <c r="A824" t="s">
        <v>80</v>
      </c>
      <c r="B824" t="s">
        <v>81</v>
      </c>
      <c r="C824" s="2"/>
      <c r="D824" s="4"/>
    </row>
    <row r="825" spans="1:4" x14ac:dyDescent="0.25">
      <c r="A825" t="s">
        <v>80</v>
      </c>
      <c r="B825" t="s">
        <v>81</v>
      </c>
      <c r="C825" s="2"/>
      <c r="D825" s="2"/>
    </row>
    <row r="826" spans="1:4" x14ac:dyDescent="0.25">
      <c r="A826" t="s">
        <v>80</v>
      </c>
      <c r="B826" t="s">
        <v>81</v>
      </c>
      <c r="C826" s="2"/>
      <c r="D826" s="2"/>
    </row>
    <row r="827" spans="1:4" x14ac:dyDescent="0.25">
      <c r="A827" t="s">
        <v>80</v>
      </c>
      <c r="B827" t="s">
        <v>81</v>
      </c>
      <c r="C827" s="2"/>
      <c r="D827" s="2"/>
    </row>
    <row r="828" spans="1:4" x14ac:dyDescent="0.25">
      <c r="A828" t="str">
        <f>A827</f>
        <v>GROUP SUPERANNUATION CONSERVATIVE FUND</v>
      </c>
      <c r="B828" t="s">
        <v>81</v>
      </c>
      <c r="C828" s="2"/>
      <c r="D828" s="2"/>
    </row>
    <row r="829" spans="1:4" x14ac:dyDescent="0.25">
      <c r="A829" t="str">
        <f>A828</f>
        <v>GROUP SUPERANNUATION CONSERVATIVE FUND</v>
      </c>
      <c r="B829" t="s">
        <v>81</v>
      </c>
      <c r="C829" s="2"/>
      <c r="D829" s="2"/>
    </row>
    <row r="830" spans="1:4" x14ac:dyDescent="0.25">
      <c r="A830" t="str">
        <f>A829</f>
        <v>GROUP SUPERANNUATION CONSERVATIVE FUND</v>
      </c>
      <c r="B830" t="s">
        <v>81</v>
      </c>
      <c r="C830" s="2"/>
      <c r="D830" s="2"/>
    </row>
    <row r="831" spans="1:4" x14ac:dyDescent="0.25">
      <c r="A831" t="str">
        <f>A830</f>
        <v>GROUP SUPERANNUATION CONSERVATIVE FUND</v>
      </c>
      <c r="B831" t="s">
        <v>81</v>
      </c>
      <c r="C831" s="2"/>
      <c r="D831" s="4"/>
    </row>
    <row r="832" spans="1:4" x14ac:dyDescent="0.25">
      <c r="B832" t="s">
        <v>81</v>
      </c>
      <c r="C832" s="2"/>
      <c r="D832" s="4"/>
    </row>
    <row r="834" spans="1:4" x14ac:dyDescent="0.25">
      <c r="A834" t="s">
        <v>88</v>
      </c>
      <c r="B834" t="s">
        <v>89</v>
      </c>
      <c r="C834" s="2"/>
      <c r="D834" s="4"/>
    </row>
    <row r="835" spans="1:4" x14ac:dyDescent="0.25">
      <c r="A835" t="s">
        <v>88</v>
      </c>
      <c r="B835" t="s">
        <v>89</v>
      </c>
      <c r="C835" s="2"/>
    </row>
    <row r="836" spans="1:4" x14ac:dyDescent="0.25">
      <c r="A836" t="s">
        <v>88</v>
      </c>
      <c r="B836" t="s">
        <v>89</v>
      </c>
      <c r="C836" s="2"/>
    </row>
    <row r="837" spans="1:4" x14ac:dyDescent="0.25">
      <c r="A837" t="s">
        <v>88</v>
      </c>
      <c r="B837" t="s">
        <v>89</v>
      </c>
      <c r="C837" s="2"/>
    </row>
    <row r="838" spans="1:4" x14ac:dyDescent="0.25">
      <c r="A838" t="s">
        <v>88</v>
      </c>
      <c r="B838" t="s">
        <v>89</v>
      </c>
      <c r="C838" s="2"/>
    </row>
    <row r="839" spans="1:4" x14ac:dyDescent="0.25">
      <c r="A839" t="s">
        <v>88</v>
      </c>
      <c r="B839" t="s">
        <v>89</v>
      </c>
      <c r="C839" s="2"/>
    </row>
    <row r="840" spans="1:4" x14ac:dyDescent="0.25">
      <c r="A840" t="s">
        <v>88</v>
      </c>
      <c r="B840" t="s">
        <v>89</v>
      </c>
      <c r="C840" s="2"/>
    </row>
    <row r="841" spans="1:4" x14ac:dyDescent="0.25">
      <c r="A841" t="s">
        <v>88</v>
      </c>
      <c r="B841" t="s">
        <v>89</v>
      </c>
      <c r="C841" s="2"/>
    </row>
    <row r="842" spans="1:4" x14ac:dyDescent="0.25">
      <c r="A842" t="str">
        <f>A841</f>
        <v xml:space="preserve">Nifty 500 Multifactor 50 Index Fund </v>
      </c>
      <c r="B842" t="s">
        <v>89</v>
      </c>
      <c r="C842" s="2"/>
    </row>
    <row r="843" spans="1:4" x14ac:dyDescent="0.25">
      <c r="A843" t="str">
        <f>A842</f>
        <v xml:space="preserve">Nifty 500 Multifactor 50 Index Fund </v>
      </c>
      <c r="B843" t="s">
        <v>89</v>
      </c>
      <c r="C843" s="2"/>
    </row>
    <row r="844" spans="1:4" x14ac:dyDescent="0.25">
      <c r="A844" t="str">
        <f>A843</f>
        <v xml:space="preserve">Nifty 500 Multifactor 50 Index Fund </v>
      </c>
      <c r="B844" t="s">
        <v>89</v>
      </c>
      <c r="C844" s="2"/>
    </row>
    <row r="845" spans="1:4" x14ac:dyDescent="0.25">
      <c r="A845" t="str">
        <f>A844</f>
        <v xml:space="preserve">Nifty 500 Multifactor 50 Index Fund </v>
      </c>
      <c r="B845" t="s">
        <v>89</v>
      </c>
      <c r="C845" s="2"/>
      <c r="D845" s="4"/>
    </row>
    <row r="846" spans="1:4" x14ac:dyDescent="0.25">
      <c r="B846" t="s">
        <v>89</v>
      </c>
      <c r="C846" s="2"/>
      <c r="D846" s="4"/>
    </row>
    <row r="848" spans="1:4" x14ac:dyDescent="0.25">
      <c r="A848" t="s">
        <v>91</v>
      </c>
      <c r="B848" t="s">
        <v>92</v>
      </c>
      <c r="C848" s="2"/>
      <c r="D848" s="4"/>
    </row>
    <row r="849" spans="1:4" x14ac:dyDescent="0.25">
      <c r="A849" t="s">
        <v>91</v>
      </c>
      <c r="B849" t="s">
        <v>92</v>
      </c>
      <c r="C849" s="2"/>
    </row>
    <row r="850" spans="1:4" x14ac:dyDescent="0.25">
      <c r="A850" t="s">
        <v>91</v>
      </c>
      <c r="B850" t="s">
        <v>92</v>
      </c>
      <c r="C850" s="2"/>
    </row>
    <row r="851" spans="1:4" x14ac:dyDescent="0.25">
      <c r="A851" t="s">
        <v>91</v>
      </c>
      <c r="B851" t="s">
        <v>92</v>
      </c>
      <c r="C851" s="2"/>
    </row>
    <row r="852" spans="1:4" x14ac:dyDescent="0.25">
      <c r="A852" t="s">
        <v>91</v>
      </c>
      <c r="B852" t="s">
        <v>92</v>
      </c>
      <c r="C852" s="2"/>
    </row>
    <row r="853" spans="1:4" x14ac:dyDescent="0.25">
      <c r="A853" t="s">
        <v>91</v>
      </c>
      <c r="B853" t="s">
        <v>92</v>
      </c>
      <c r="C853" s="2"/>
    </row>
    <row r="854" spans="1:4" x14ac:dyDescent="0.25">
      <c r="A854" t="s">
        <v>91</v>
      </c>
      <c r="B854" t="s">
        <v>92</v>
      </c>
      <c r="C854" s="2"/>
    </row>
    <row r="855" spans="1:4" x14ac:dyDescent="0.25">
      <c r="A855" t="s">
        <v>91</v>
      </c>
      <c r="B855" t="s">
        <v>92</v>
      </c>
      <c r="C855" s="2"/>
    </row>
    <row r="856" spans="1:4" x14ac:dyDescent="0.25">
      <c r="A856" t="str">
        <f>A855</f>
        <v>NIFTY 500 MULTIFACTOR 50 INDEX PENSION FUND</v>
      </c>
      <c r="B856" t="s">
        <v>92</v>
      </c>
      <c r="C856" s="2"/>
    </row>
    <row r="857" spans="1:4" x14ac:dyDescent="0.25">
      <c r="A857" t="str">
        <f>A856</f>
        <v>NIFTY 500 MULTIFACTOR 50 INDEX PENSION FUND</v>
      </c>
      <c r="B857" t="s">
        <v>92</v>
      </c>
      <c r="C857" s="2"/>
    </row>
    <row r="858" spans="1:4" x14ac:dyDescent="0.25">
      <c r="A858" t="str">
        <f>A857</f>
        <v>NIFTY 500 MULTIFACTOR 50 INDEX PENSION FUND</v>
      </c>
      <c r="B858" t="s">
        <v>92</v>
      </c>
      <c r="C858" s="2"/>
    </row>
    <row r="859" spans="1:4" x14ac:dyDescent="0.25">
      <c r="A859" t="str">
        <f>A858</f>
        <v>NIFTY 500 MULTIFACTOR 50 INDEX PENSION FUND</v>
      </c>
      <c r="B859" t="s">
        <v>92</v>
      </c>
      <c r="C859" s="2"/>
      <c r="D859" s="4"/>
    </row>
    <row r="860" spans="1:4" x14ac:dyDescent="0.25">
      <c r="B860" t="s">
        <v>92</v>
      </c>
      <c r="C860" s="2"/>
      <c r="D860" s="4"/>
    </row>
    <row r="862" spans="1:4" x14ac:dyDescent="0.25">
      <c r="A862" t="s">
        <v>94</v>
      </c>
      <c r="B862" t="s">
        <v>95</v>
      </c>
      <c r="C862" s="2"/>
      <c r="D862" s="4"/>
    </row>
    <row r="863" spans="1:4" x14ac:dyDescent="0.25">
      <c r="A863" t="s">
        <v>94</v>
      </c>
      <c r="B863" t="s">
        <v>95</v>
      </c>
      <c r="C863" s="2"/>
      <c r="D863" s="3"/>
    </row>
    <row r="864" spans="1:4" x14ac:dyDescent="0.25">
      <c r="A864" t="s">
        <v>94</v>
      </c>
      <c r="B864" t="s">
        <v>95</v>
      </c>
      <c r="C864" s="2"/>
    </row>
    <row r="865" spans="1:4" x14ac:dyDescent="0.25">
      <c r="A865" t="s">
        <v>94</v>
      </c>
      <c r="B865" t="s">
        <v>95</v>
      </c>
      <c r="C865" s="2"/>
    </row>
    <row r="866" spans="1:4" x14ac:dyDescent="0.25">
      <c r="A866" t="s">
        <v>94</v>
      </c>
      <c r="B866" t="s">
        <v>95</v>
      </c>
      <c r="C866" s="2"/>
    </row>
    <row r="867" spans="1:4" x14ac:dyDescent="0.25">
      <c r="A867" t="s">
        <v>94</v>
      </c>
      <c r="B867" t="s">
        <v>95</v>
      </c>
      <c r="C867" s="2"/>
    </row>
    <row r="868" spans="1:4" x14ac:dyDescent="0.25">
      <c r="A868" t="s">
        <v>94</v>
      </c>
      <c r="B868" t="s">
        <v>95</v>
      </c>
      <c r="C868" s="2"/>
    </row>
    <row r="869" spans="1:4" x14ac:dyDescent="0.25">
      <c r="A869" t="s">
        <v>94</v>
      </c>
      <c r="B869" t="s">
        <v>95</v>
      </c>
      <c r="C869" s="2"/>
    </row>
    <row r="870" spans="1:4" x14ac:dyDescent="0.25">
      <c r="A870" t="str">
        <f>A869</f>
        <v>BSE 500 Value 50 Index Fund</v>
      </c>
      <c r="B870" t="s">
        <v>95</v>
      </c>
      <c r="C870" s="2"/>
    </row>
    <row r="871" spans="1:4" x14ac:dyDescent="0.25">
      <c r="A871" t="str">
        <f>A870</f>
        <v>BSE 500 Value 50 Index Fund</v>
      </c>
      <c r="B871" t="s">
        <v>95</v>
      </c>
      <c r="C871" s="2"/>
    </row>
    <row r="872" spans="1:4" x14ac:dyDescent="0.25">
      <c r="A872" t="str">
        <f>A871</f>
        <v>BSE 500 Value 50 Index Fund</v>
      </c>
      <c r="B872" t="s">
        <v>95</v>
      </c>
      <c r="C872" s="2"/>
    </row>
    <row r="873" spans="1:4" x14ac:dyDescent="0.25">
      <c r="A873" t="str">
        <f>A872</f>
        <v>BSE 500 Value 50 Index Fund</v>
      </c>
      <c r="B873" t="s">
        <v>95</v>
      </c>
      <c r="C873" s="2"/>
      <c r="D873" s="4"/>
    </row>
    <row r="874" spans="1:4" x14ac:dyDescent="0.25">
      <c r="B874" t="s">
        <v>95</v>
      </c>
      <c r="C874" s="2"/>
      <c r="D874" s="4"/>
    </row>
    <row r="876" spans="1:4" x14ac:dyDescent="0.25">
      <c r="A876" t="s">
        <v>98</v>
      </c>
      <c r="B876" t="s">
        <v>99</v>
      </c>
      <c r="C876" s="2"/>
      <c r="D876" s="4"/>
    </row>
    <row r="877" spans="1:4" x14ac:dyDescent="0.25">
      <c r="A877" t="s">
        <v>98</v>
      </c>
      <c r="B877" t="s">
        <v>99</v>
      </c>
      <c r="C877" s="2"/>
    </row>
    <row r="878" spans="1:4" x14ac:dyDescent="0.25">
      <c r="A878" t="s">
        <v>98</v>
      </c>
      <c r="B878" t="s">
        <v>99</v>
      </c>
      <c r="C878" s="2"/>
    </row>
    <row r="879" spans="1:4" x14ac:dyDescent="0.25">
      <c r="A879" t="s">
        <v>98</v>
      </c>
      <c r="B879" t="s">
        <v>99</v>
      </c>
      <c r="C879" s="2"/>
    </row>
    <row r="880" spans="1:4" x14ac:dyDescent="0.25">
      <c r="A880" t="s">
        <v>98</v>
      </c>
      <c r="B880" t="s">
        <v>99</v>
      </c>
      <c r="C880" s="2"/>
    </row>
    <row r="881" spans="1:4" x14ac:dyDescent="0.25">
      <c r="A881" t="s">
        <v>98</v>
      </c>
      <c r="B881" t="s">
        <v>99</v>
      </c>
      <c r="C881" s="2"/>
    </row>
    <row r="882" spans="1:4" x14ac:dyDescent="0.25">
      <c r="A882" t="s">
        <v>98</v>
      </c>
      <c r="B882" t="s">
        <v>99</v>
      </c>
      <c r="C882" s="2"/>
    </row>
    <row r="883" spans="1:4" x14ac:dyDescent="0.25">
      <c r="A883" t="s">
        <v>98</v>
      </c>
      <c r="B883" t="s">
        <v>99</v>
      </c>
      <c r="C883" s="2"/>
    </row>
    <row r="884" spans="1:4" x14ac:dyDescent="0.25">
      <c r="A884" t="s">
        <v>98</v>
      </c>
      <c r="B884" t="s">
        <v>99</v>
      </c>
      <c r="C884" s="2"/>
    </row>
    <row r="885" spans="1:4" x14ac:dyDescent="0.25">
      <c r="A885" t="s">
        <v>98</v>
      </c>
      <c r="B885" t="s">
        <v>99</v>
      </c>
      <c r="C885" s="2"/>
    </row>
    <row r="886" spans="1:4" x14ac:dyDescent="0.25">
      <c r="A886" t="s">
        <v>98</v>
      </c>
      <c r="B886" t="s">
        <v>99</v>
      </c>
      <c r="C886" s="2"/>
    </row>
    <row r="887" spans="1:4" x14ac:dyDescent="0.25">
      <c r="A887" t="s">
        <v>98</v>
      </c>
      <c r="B887" t="s">
        <v>99</v>
      </c>
      <c r="C887" s="2"/>
      <c r="D887" s="4"/>
    </row>
    <row r="888" spans="1:4" x14ac:dyDescent="0.25">
      <c r="B888" t="s">
        <v>99</v>
      </c>
      <c r="C888" s="2"/>
      <c r="D888" s="4"/>
    </row>
    <row r="890" spans="1:4" x14ac:dyDescent="0.25">
      <c r="A890" t="s">
        <v>100</v>
      </c>
      <c r="B890" t="s">
        <v>101</v>
      </c>
      <c r="C890" s="2"/>
      <c r="D890" s="4"/>
    </row>
    <row r="891" spans="1:4" x14ac:dyDescent="0.25">
      <c r="A891" t="s">
        <v>100</v>
      </c>
      <c r="B891" t="s">
        <v>101</v>
      </c>
      <c r="C891" s="2"/>
    </row>
    <row r="892" spans="1:4" x14ac:dyDescent="0.25">
      <c r="A892" t="s">
        <v>100</v>
      </c>
      <c r="B892" t="s">
        <v>101</v>
      </c>
      <c r="C892" s="2"/>
    </row>
    <row r="893" spans="1:4" x14ac:dyDescent="0.25">
      <c r="A893" t="s">
        <v>100</v>
      </c>
      <c r="B893" t="s">
        <v>101</v>
      </c>
      <c r="C893" s="2"/>
    </row>
    <row r="894" spans="1:4" x14ac:dyDescent="0.25">
      <c r="A894" t="s">
        <v>100</v>
      </c>
      <c r="B894" t="s">
        <v>101</v>
      </c>
      <c r="C894" s="2"/>
    </row>
    <row r="895" spans="1:4" x14ac:dyDescent="0.25">
      <c r="A895" t="s">
        <v>100</v>
      </c>
      <c r="B895" t="s">
        <v>101</v>
      </c>
      <c r="C895" s="2"/>
    </row>
    <row r="896" spans="1:4" x14ac:dyDescent="0.25">
      <c r="A896" t="s">
        <v>100</v>
      </c>
      <c r="B896" t="s">
        <v>101</v>
      </c>
      <c r="C896" s="2"/>
    </row>
    <row r="897" spans="1:4" x14ac:dyDescent="0.25">
      <c r="A897" t="s">
        <v>100</v>
      </c>
      <c r="B897" t="s">
        <v>101</v>
      </c>
      <c r="C897" s="2"/>
    </row>
    <row r="898" spans="1:4" x14ac:dyDescent="0.25">
      <c r="A898" t="s">
        <v>100</v>
      </c>
      <c r="B898" t="s">
        <v>101</v>
      </c>
      <c r="C898" s="2"/>
    </row>
    <row r="899" spans="1:4" x14ac:dyDescent="0.25">
      <c r="A899" t="s">
        <v>100</v>
      </c>
      <c r="B899" t="s">
        <v>101</v>
      </c>
      <c r="C899" s="2"/>
    </row>
    <row r="900" spans="1:4" x14ac:dyDescent="0.25">
      <c r="A900" t="s">
        <v>100</v>
      </c>
      <c r="B900" t="s">
        <v>101</v>
      </c>
      <c r="C900" s="2"/>
    </row>
    <row r="901" spans="1:4" x14ac:dyDescent="0.25">
      <c r="A901" t="s">
        <v>100</v>
      </c>
      <c r="B901" t="s">
        <v>101</v>
      </c>
      <c r="C901" s="2"/>
      <c r="D901" s="4"/>
    </row>
    <row r="902" spans="1:4" x14ac:dyDescent="0.25">
      <c r="B902" t="s">
        <v>101</v>
      </c>
      <c r="C902" s="2"/>
      <c r="D902" s="4"/>
    </row>
    <row r="904" spans="1:4" x14ac:dyDescent="0.25">
      <c r="A904" t="s">
        <v>102</v>
      </c>
      <c r="B904" t="s">
        <v>103</v>
      </c>
      <c r="C904" s="2"/>
      <c r="D904" s="4"/>
    </row>
    <row r="905" spans="1:4" x14ac:dyDescent="0.25">
      <c r="A905" t="s">
        <v>102</v>
      </c>
      <c r="B905" t="s">
        <v>103</v>
      </c>
      <c r="C905" s="2"/>
    </row>
    <row r="906" spans="1:4" x14ac:dyDescent="0.25">
      <c r="A906" t="s">
        <v>102</v>
      </c>
      <c r="B906" t="s">
        <v>103</v>
      </c>
      <c r="C906" s="2"/>
    </row>
    <row r="907" spans="1:4" x14ac:dyDescent="0.25">
      <c r="A907" t="s">
        <v>102</v>
      </c>
      <c r="B907" t="s">
        <v>103</v>
      </c>
      <c r="C907" s="2"/>
    </row>
    <row r="908" spans="1:4" x14ac:dyDescent="0.25">
      <c r="A908" t="s">
        <v>102</v>
      </c>
      <c r="B908" t="s">
        <v>103</v>
      </c>
      <c r="C908" s="2"/>
    </row>
    <row r="909" spans="1:4" x14ac:dyDescent="0.25">
      <c r="A909" t="s">
        <v>102</v>
      </c>
      <c r="B909" t="s">
        <v>103</v>
      </c>
      <c r="C909" s="2"/>
    </row>
    <row r="910" spans="1:4" x14ac:dyDescent="0.25">
      <c r="A910" t="s">
        <v>102</v>
      </c>
      <c r="B910" t="s">
        <v>103</v>
      </c>
      <c r="C910" s="2"/>
    </row>
    <row r="911" spans="1:4" x14ac:dyDescent="0.25">
      <c r="A911" t="s">
        <v>102</v>
      </c>
      <c r="B911" t="s">
        <v>103</v>
      </c>
      <c r="C911" s="2"/>
    </row>
    <row r="912" spans="1:4" x14ac:dyDescent="0.25">
      <c r="A912" t="s">
        <v>102</v>
      </c>
      <c r="B912" t="s">
        <v>103</v>
      </c>
      <c r="C912" s="2"/>
    </row>
    <row r="913" spans="1:4" x14ac:dyDescent="0.25">
      <c r="A913" t="s">
        <v>102</v>
      </c>
      <c r="B913" t="s">
        <v>103</v>
      </c>
      <c r="C913" s="2"/>
    </row>
    <row r="914" spans="1:4" x14ac:dyDescent="0.25">
      <c r="A914" t="s">
        <v>102</v>
      </c>
      <c r="B914" t="s">
        <v>103</v>
      </c>
      <c r="C914" s="2"/>
    </row>
    <row r="915" spans="1:4" x14ac:dyDescent="0.25">
      <c r="A915" t="s">
        <v>102</v>
      </c>
      <c r="B915" t="s">
        <v>103</v>
      </c>
      <c r="C915" s="2"/>
      <c r="D915" s="4"/>
    </row>
    <row r="916" spans="1:4" x14ac:dyDescent="0.25">
      <c r="B916" t="s">
        <v>103</v>
      </c>
      <c r="C916" s="2"/>
      <c r="D916" s="4"/>
    </row>
    <row r="918" spans="1:4" x14ac:dyDescent="0.25">
      <c r="A918" t="s">
        <v>106</v>
      </c>
      <c r="B918" t="s">
        <v>105</v>
      </c>
      <c r="C918" s="2"/>
      <c r="D918" s="4"/>
    </row>
    <row r="919" spans="1:4" x14ac:dyDescent="0.25">
      <c r="A919" t="s">
        <v>106</v>
      </c>
      <c r="B919" t="s">
        <v>105</v>
      </c>
      <c r="C919" s="2"/>
    </row>
    <row r="920" spans="1:4" x14ac:dyDescent="0.25">
      <c r="A920" t="s">
        <v>106</v>
      </c>
      <c r="B920" t="s">
        <v>105</v>
      </c>
      <c r="C920" s="2"/>
    </row>
    <row r="921" spans="1:4" x14ac:dyDescent="0.25">
      <c r="A921" t="s">
        <v>106</v>
      </c>
      <c r="B921" t="s">
        <v>105</v>
      </c>
      <c r="C921" s="2"/>
    </row>
    <row r="922" spans="1:4" x14ac:dyDescent="0.25">
      <c r="A922" t="s">
        <v>106</v>
      </c>
      <c r="B922" t="s">
        <v>105</v>
      </c>
      <c r="C922" s="2"/>
    </row>
    <row r="923" spans="1:4" x14ac:dyDescent="0.25">
      <c r="A923" t="s">
        <v>106</v>
      </c>
      <c r="B923" t="s">
        <v>105</v>
      </c>
      <c r="C923" s="2"/>
    </row>
    <row r="924" spans="1:4" x14ac:dyDescent="0.25">
      <c r="A924" t="s">
        <v>106</v>
      </c>
      <c r="B924" t="s">
        <v>105</v>
      </c>
      <c r="C924" s="2"/>
    </row>
    <row r="925" spans="1:4" x14ac:dyDescent="0.25">
      <c r="A925" t="s">
        <v>106</v>
      </c>
      <c r="B925" t="s">
        <v>105</v>
      </c>
      <c r="C925" s="2"/>
    </row>
    <row r="926" spans="1:4" x14ac:dyDescent="0.25">
      <c r="A926" t="s">
        <v>106</v>
      </c>
      <c r="B926" t="s">
        <v>105</v>
      </c>
      <c r="C926" s="2"/>
    </row>
    <row r="927" spans="1:4" x14ac:dyDescent="0.25">
      <c r="A927" t="s">
        <v>106</v>
      </c>
      <c r="B927" t="s">
        <v>105</v>
      </c>
      <c r="C927" s="2"/>
    </row>
    <row r="928" spans="1:4" x14ac:dyDescent="0.25">
      <c r="A928" t="s">
        <v>106</v>
      </c>
      <c r="B928" t="s">
        <v>105</v>
      </c>
      <c r="C928" s="2"/>
    </row>
    <row r="929" spans="1:4" x14ac:dyDescent="0.25">
      <c r="A929" t="s">
        <v>106</v>
      </c>
      <c r="B929" t="s">
        <v>105</v>
      </c>
      <c r="C929" s="2"/>
      <c r="D929" s="4"/>
    </row>
    <row r="930" spans="1:4" x14ac:dyDescent="0.25">
      <c r="B930" t="s">
        <v>105</v>
      </c>
      <c r="C930" s="2"/>
      <c r="D930" s="4"/>
    </row>
    <row r="932" spans="1:4" x14ac:dyDescent="0.25">
      <c r="A932" t="s">
        <v>107</v>
      </c>
      <c r="B932" t="s">
        <v>152</v>
      </c>
      <c r="D932" s="4"/>
    </row>
    <row r="933" spans="1:4" x14ac:dyDescent="0.25">
      <c r="A933" t="s">
        <v>107</v>
      </c>
      <c r="B933" t="s">
        <v>152</v>
      </c>
    </row>
    <row r="934" spans="1:4" x14ac:dyDescent="0.25">
      <c r="A934" t="s">
        <v>107</v>
      </c>
      <c r="B934" t="s">
        <v>152</v>
      </c>
    </row>
    <row r="935" spans="1:4" x14ac:dyDescent="0.25">
      <c r="A935" t="s">
        <v>107</v>
      </c>
      <c r="B935" t="s">
        <v>152</v>
      </c>
    </row>
    <row r="936" spans="1:4" x14ac:dyDescent="0.25">
      <c r="A936" t="s">
        <v>107</v>
      </c>
      <c r="B936" t="s">
        <v>152</v>
      </c>
    </row>
    <row r="937" spans="1:4" x14ac:dyDescent="0.25">
      <c r="A937" t="s">
        <v>107</v>
      </c>
      <c r="B937" t="s">
        <v>152</v>
      </c>
    </row>
    <row r="938" spans="1:4" x14ac:dyDescent="0.25">
      <c r="A938" t="s">
        <v>107</v>
      </c>
      <c r="B938" t="s">
        <v>152</v>
      </c>
    </row>
    <row r="939" spans="1:4" x14ac:dyDescent="0.25">
      <c r="A939" t="s">
        <v>107</v>
      </c>
      <c r="B939" t="s">
        <v>152</v>
      </c>
    </row>
    <row r="940" spans="1:4" x14ac:dyDescent="0.25">
      <c r="A940" t="s">
        <v>107</v>
      </c>
      <c r="B940" t="s">
        <v>152</v>
      </c>
    </row>
    <row r="941" spans="1:4" x14ac:dyDescent="0.25">
      <c r="A941" t="s">
        <v>107</v>
      </c>
      <c r="B941" t="s">
        <v>152</v>
      </c>
    </row>
    <row r="942" spans="1:4" x14ac:dyDescent="0.25">
      <c r="A942" t="s">
        <v>107</v>
      </c>
      <c r="B942" t="s">
        <v>152</v>
      </c>
    </row>
    <row r="943" spans="1:4" x14ac:dyDescent="0.25">
      <c r="A943" t="s">
        <v>107</v>
      </c>
      <c r="B943" t="s">
        <v>152</v>
      </c>
      <c r="D943" s="4"/>
    </row>
    <row r="944" spans="1:4" x14ac:dyDescent="0.25">
      <c r="B944" t="s">
        <v>152</v>
      </c>
      <c r="D944" s="4"/>
    </row>
    <row r="946" spans="1:4" x14ac:dyDescent="0.25">
      <c r="A946" t="s">
        <v>108</v>
      </c>
      <c r="B946" t="s">
        <v>153</v>
      </c>
      <c r="D946" s="4"/>
    </row>
    <row r="947" spans="1:4" x14ac:dyDescent="0.25">
      <c r="B947" t="s">
        <v>153</v>
      </c>
      <c r="D947" s="4"/>
    </row>
    <row r="949" spans="1:4" x14ac:dyDescent="0.25">
      <c r="A949" t="s">
        <v>109</v>
      </c>
      <c r="B949" t="s">
        <v>154</v>
      </c>
      <c r="D949" s="4"/>
    </row>
    <row r="950" spans="1:4" x14ac:dyDescent="0.25">
      <c r="B950" t="s">
        <v>154</v>
      </c>
      <c r="D950" s="4"/>
    </row>
  </sheetData>
  <autoFilter ref="A1:E950" xr:uid="{3703DD5C-A796-49ED-BE90-378F8850E9F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B308-D303-4C40-BCAE-E736A9BE1403}">
  <sheetPr filterMode="1"/>
  <dimension ref="A1:N964"/>
  <sheetViews>
    <sheetView tabSelected="1" workbookViewId="0">
      <selection activeCell="B1" sqref="B1"/>
    </sheetView>
  </sheetViews>
  <sheetFormatPr defaultRowHeight="15" x14ac:dyDescent="0.25"/>
  <cols>
    <col min="1" max="1" width="48.140625" bestFit="1" customWidth="1"/>
    <col min="2" max="2" width="8.42578125" customWidth="1"/>
    <col min="3" max="3" width="11.7109375" customWidth="1"/>
    <col min="4" max="4" width="14.42578125" customWidth="1"/>
    <col min="5" max="5" width="67.42578125" bestFit="1" customWidth="1"/>
    <col min="6" max="8" width="9.140625" style="2"/>
    <col min="9" max="10" width="9.5703125" style="2" customWidth="1"/>
    <col min="11" max="11" width="9.140625" style="2"/>
  </cols>
  <sheetData>
    <row r="1" spans="1:14" s="4" customFormat="1" x14ac:dyDescent="0.25">
      <c r="A1" s="4" t="s">
        <v>83</v>
      </c>
      <c r="B1" s="4" t="s">
        <v>82</v>
      </c>
      <c r="C1" s="4" t="s">
        <v>84</v>
      </c>
      <c r="D1" s="4" t="s">
        <v>85</v>
      </c>
      <c r="E1" s="4" t="s">
        <v>86</v>
      </c>
      <c r="F1" s="5"/>
      <c r="G1" s="5"/>
      <c r="H1" s="2"/>
      <c r="I1" s="5"/>
      <c r="J1" s="5"/>
      <c r="K1" s="5"/>
    </row>
    <row r="2" spans="1:14" hidden="1" x14ac:dyDescent="0.25">
      <c r="A2" t="s">
        <v>0</v>
      </c>
      <c r="B2" t="s">
        <v>1</v>
      </c>
      <c r="C2" s="2">
        <v>12240.64</v>
      </c>
      <c r="D2" s="1">
        <v>122406.39999999999</v>
      </c>
      <c r="E2" s="4" t="s">
        <v>93</v>
      </c>
    </row>
    <row r="3" spans="1:14" hidden="1" x14ac:dyDescent="0.25">
      <c r="A3" t="s">
        <v>0</v>
      </c>
      <c r="B3" t="s">
        <v>1</v>
      </c>
      <c r="C3" s="2">
        <v>12240.64</v>
      </c>
      <c r="D3" s="1">
        <v>122406.39999999999</v>
      </c>
      <c r="E3" t="s">
        <v>4</v>
      </c>
      <c r="F3" s="2">
        <f t="shared" ref="F3:F13" si="0">(D3*G3)/100</f>
        <v>9364.0895999999993</v>
      </c>
      <c r="G3" s="2">
        <v>7.6499999999999995</v>
      </c>
    </row>
    <row r="4" spans="1:14" hidden="1" x14ac:dyDescent="0.25">
      <c r="A4" t="s">
        <v>0</v>
      </c>
      <c r="B4" t="s">
        <v>1</v>
      </c>
      <c r="C4" s="2">
        <v>12240.64</v>
      </c>
      <c r="D4" s="1">
        <v>122406.39999999999</v>
      </c>
      <c r="E4" t="s">
        <v>2</v>
      </c>
      <c r="F4" s="2">
        <f t="shared" si="0"/>
        <v>9107.0361599999997</v>
      </c>
      <c r="G4" s="2">
        <v>7.4399999999999995</v>
      </c>
    </row>
    <row r="5" spans="1:14" hidden="1" x14ac:dyDescent="0.25">
      <c r="A5" t="s">
        <v>0</v>
      </c>
      <c r="B5" t="s">
        <v>1</v>
      </c>
      <c r="C5" s="2">
        <v>12240.64</v>
      </c>
      <c r="D5" s="1">
        <v>122406.39999999999</v>
      </c>
      <c r="E5" t="s">
        <v>3</v>
      </c>
      <c r="F5" s="2">
        <f t="shared" si="0"/>
        <v>7674.8812800000005</v>
      </c>
      <c r="G5" s="2">
        <v>6.2700000000000005</v>
      </c>
    </row>
    <row r="6" spans="1:14" hidden="1" x14ac:dyDescent="0.25">
      <c r="A6" t="s">
        <v>0</v>
      </c>
      <c r="B6" t="s">
        <v>1</v>
      </c>
      <c r="C6" s="2">
        <v>12240.64</v>
      </c>
      <c r="D6" s="1">
        <v>122406.39999999999</v>
      </c>
      <c r="E6" t="s">
        <v>5</v>
      </c>
      <c r="F6" s="2">
        <f t="shared" si="0"/>
        <v>7062.8492800000004</v>
      </c>
      <c r="G6" s="2">
        <v>5.7700000000000005</v>
      </c>
    </row>
    <row r="7" spans="1:14" hidden="1" x14ac:dyDescent="0.25">
      <c r="A7" t="s">
        <v>0</v>
      </c>
      <c r="B7" t="s">
        <v>1</v>
      </c>
      <c r="C7" s="2">
        <v>12240.64</v>
      </c>
      <c r="D7" s="1">
        <v>122406.39999999999</v>
      </c>
      <c r="E7" t="s">
        <v>7</v>
      </c>
      <c r="F7" s="2">
        <f t="shared" si="0"/>
        <v>6866.9990399999988</v>
      </c>
      <c r="G7" s="2">
        <v>5.6099999999999994</v>
      </c>
    </row>
    <row r="8" spans="1:14" hidden="1" x14ac:dyDescent="0.25">
      <c r="A8" t="s">
        <v>0</v>
      </c>
      <c r="B8" t="s">
        <v>1</v>
      </c>
      <c r="C8" s="2">
        <v>12240.64</v>
      </c>
      <c r="D8" s="1">
        <v>122406.39999999999</v>
      </c>
      <c r="E8" t="s">
        <v>6</v>
      </c>
      <c r="F8" s="2">
        <f t="shared" si="0"/>
        <v>6463.0579200000002</v>
      </c>
      <c r="G8" s="2">
        <v>5.28</v>
      </c>
    </row>
    <row r="9" spans="1:14" hidden="1" x14ac:dyDescent="0.25">
      <c r="A9" t="s">
        <v>0</v>
      </c>
      <c r="B9" t="s">
        <v>1</v>
      </c>
      <c r="C9" s="2">
        <v>12240.64</v>
      </c>
      <c r="D9" s="1">
        <v>122406.39999999999</v>
      </c>
      <c r="E9" t="s">
        <v>87</v>
      </c>
      <c r="F9" s="2">
        <f t="shared" si="0"/>
        <v>6414.0953599999993</v>
      </c>
      <c r="G9" s="2">
        <v>5.24</v>
      </c>
    </row>
    <row r="10" spans="1:14" hidden="1" x14ac:dyDescent="0.25">
      <c r="A10" t="s">
        <v>0</v>
      </c>
      <c r="B10" t="s">
        <v>1</v>
      </c>
      <c r="C10" s="2">
        <v>12240.64</v>
      </c>
      <c r="D10" s="1">
        <v>122406.39999999999</v>
      </c>
      <c r="E10" t="s">
        <v>97</v>
      </c>
      <c r="F10" s="2">
        <f t="shared" si="0"/>
        <v>4688.1651199999997</v>
      </c>
      <c r="G10" s="2">
        <v>3.83</v>
      </c>
    </row>
    <row r="11" spans="1:14" hidden="1" x14ac:dyDescent="0.25">
      <c r="A11" t="s">
        <v>0</v>
      </c>
      <c r="B11" t="s">
        <v>1</v>
      </c>
      <c r="C11" s="2">
        <v>12240.64</v>
      </c>
      <c r="D11" s="1">
        <v>122406.39999999999</v>
      </c>
      <c r="E11" t="s">
        <v>13</v>
      </c>
      <c r="F11" s="2">
        <f t="shared" si="0"/>
        <v>4602.4806399999998</v>
      </c>
      <c r="G11" s="2">
        <v>3.7600000000000002</v>
      </c>
    </row>
    <row r="12" spans="1:14" hidden="1" x14ac:dyDescent="0.25">
      <c r="A12" t="s">
        <v>0</v>
      </c>
      <c r="B12" t="s">
        <v>1</v>
      </c>
      <c r="C12" s="2">
        <v>12240.64</v>
      </c>
      <c r="D12" s="1">
        <v>122406.39999999999</v>
      </c>
      <c r="E12" t="s">
        <v>149</v>
      </c>
      <c r="F12" s="2">
        <f t="shared" si="0"/>
        <v>3941.4860799999997</v>
      </c>
      <c r="G12" s="2">
        <v>3.2199999999999998</v>
      </c>
    </row>
    <row r="13" spans="1:14" hidden="1" x14ac:dyDescent="0.25">
      <c r="A13" t="s">
        <v>0</v>
      </c>
      <c r="B13" t="s">
        <v>1</v>
      </c>
      <c r="C13" s="2">
        <v>12240.64</v>
      </c>
      <c r="D13" s="1">
        <v>122406.39999999999</v>
      </c>
      <c r="E13" s="4" t="s">
        <v>96</v>
      </c>
      <c r="F13" s="2">
        <f t="shared" si="0"/>
        <v>2203.3151999999995</v>
      </c>
      <c r="G13" s="2">
        <v>1.7999999999999998</v>
      </c>
    </row>
    <row r="14" spans="1:14" x14ac:dyDescent="0.25">
      <c r="A14" t="str">
        <f>A13</f>
        <v>UL LIFE GROWTH SUPER FUND</v>
      </c>
      <c r="B14" t="s">
        <v>1</v>
      </c>
      <c r="C14" s="2">
        <v>12240.64</v>
      </c>
      <c r="D14" s="1">
        <v>122406.39999999999</v>
      </c>
      <c r="E14" s="4" t="s">
        <v>8</v>
      </c>
      <c r="F14" s="2">
        <f ca="1">SUMIF(A:A,M14,F:F)</f>
        <v>68388.455679999999</v>
      </c>
      <c r="G14" s="2">
        <f ca="1">SUMIF(A:A,M14,G:G)</f>
        <v>55.86999999999999</v>
      </c>
      <c r="I14" s="2">
        <f ca="1">(D14*J14)/100</f>
        <v>54017.94432000001</v>
      </c>
      <c r="J14" s="2">
        <f ca="1">100-G14</f>
        <v>44.13000000000001</v>
      </c>
      <c r="K14" s="2">
        <f>D14/1000</f>
        <v>122.40639999999999</v>
      </c>
      <c r="M14" t="str">
        <f>A13</f>
        <v>UL LIFE GROWTH SUPER FUND</v>
      </c>
      <c r="N14" s="2"/>
    </row>
    <row r="15" spans="1:14" hidden="1" x14ac:dyDescent="0.25"/>
    <row r="16" spans="1:14" hidden="1" x14ac:dyDescent="0.25">
      <c r="A16" t="s">
        <v>9</v>
      </c>
      <c r="B16" t="s">
        <v>10</v>
      </c>
      <c r="C16" s="1">
        <v>12571.8</v>
      </c>
      <c r="D16" s="1">
        <v>125718</v>
      </c>
      <c r="E16" s="4" t="s">
        <v>93</v>
      </c>
    </row>
    <row r="17" spans="1:14" hidden="1" x14ac:dyDescent="0.25">
      <c r="A17" t="s">
        <v>9</v>
      </c>
      <c r="B17" t="s">
        <v>10</v>
      </c>
      <c r="C17" s="1">
        <v>12571.8</v>
      </c>
      <c r="D17" s="1">
        <v>125718</v>
      </c>
      <c r="E17" t="s">
        <v>111</v>
      </c>
      <c r="F17" s="2">
        <f t="shared" ref="F17:F27" si="1">(D17*G17)/100</f>
        <v>4387.5582000000004</v>
      </c>
      <c r="G17" s="2">
        <v>3.49</v>
      </c>
    </row>
    <row r="18" spans="1:14" hidden="1" x14ac:dyDescent="0.25">
      <c r="A18" t="s">
        <v>9</v>
      </c>
      <c r="B18" t="s">
        <v>10</v>
      </c>
      <c r="C18" s="1">
        <v>12571.8</v>
      </c>
      <c r="D18" s="1">
        <v>125718</v>
      </c>
      <c r="E18" t="s">
        <v>110</v>
      </c>
      <c r="F18" s="2">
        <f t="shared" si="1"/>
        <v>3909.8298</v>
      </c>
      <c r="G18" s="2">
        <v>3.11</v>
      </c>
    </row>
    <row r="19" spans="1:14" hidden="1" x14ac:dyDescent="0.25">
      <c r="A19" t="s">
        <v>9</v>
      </c>
      <c r="B19" t="s">
        <v>10</v>
      </c>
      <c r="C19" s="1">
        <v>12571.8</v>
      </c>
      <c r="D19" s="1">
        <v>125718</v>
      </c>
      <c r="E19" t="s">
        <v>112</v>
      </c>
      <c r="F19" s="2">
        <f t="shared" si="1"/>
        <v>3608.1066000000005</v>
      </c>
      <c r="G19" s="2">
        <v>2.87</v>
      </c>
    </row>
    <row r="20" spans="1:14" hidden="1" x14ac:dyDescent="0.25">
      <c r="A20" t="s">
        <v>9</v>
      </c>
      <c r="B20" t="s">
        <v>10</v>
      </c>
      <c r="C20" s="1">
        <v>12571.8</v>
      </c>
      <c r="D20" s="1">
        <v>125718</v>
      </c>
      <c r="E20" t="s">
        <v>148</v>
      </c>
      <c r="F20" s="2">
        <f t="shared" si="1"/>
        <v>3557.8193999999999</v>
      </c>
      <c r="G20" s="2">
        <v>2.83</v>
      </c>
    </row>
    <row r="21" spans="1:14" hidden="1" x14ac:dyDescent="0.25">
      <c r="A21" t="s">
        <v>9</v>
      </c>
      <c r="B21" t="s">
        <v>10</v>
      </c>
      <c r="C21" s="1">
        <v>12571.8</v>
      </c>
      <c r="D21" s="1">
        <v>125718</v>
      </c>
      <c r="E21" t="s">
        <v>113</v>
      </c>
      <c r="F21" s="2">
        <f t="shared" si="1"/>
        <v>3419.5295999999998</v>
      </c>
      <c r="G21" s="2">
        <v>2.7199999999999998</v>
      </c>
    </row>
    <row r="22" spans="1:14" hidden="1" x14ac:dyDescent="0.25">
      <c r="A22" t="s">
        <v>9</v>
      </c>
      <c r="B22" t="s">
        <v>10</v>
      </c>
      <c r="C22" s="1">
        <v>12571.8</v>
      </c>
      <c r="D22" s="1">
        <v>125718</v>
      </c>
      <c r="E22" t="s">
        <v>114</v>
      </c>
      <c r="F22" s="2">
        <f t="shared" si="1"/>
        <v>3105.2345999999998</v>
      </c>
      <c r="G22" s="2">
        <v>2.4699999999999998</v>
      </c>
    </row>
    <row r="23" spans="1:14" hidden="1" x14ac:dyDescent="0.25">
      <c r="A23" t="s">
        <v>9</v>
      </c>
      <c r="B23" t="s">
        <v>10</v>
      </c>
      <c r="C23" s="1">
        <v>12571.8</v>
      </c>
      <c r="D23" s="1">
        <v>125718</v>
      </c>
      <c r="E23" t="s">
        <v>115</v>
      </c>
      <c r="F23" s="2">
        <f t="shared" si="1"/>
        <v>2966.9447999999998</v>
      </c>
      <c r="G23" s="2">
        <v>2.36</v>
      </c>
    </row>
    <row r="24" spans="1:14" hidden="1" x14ac:dyDescent="0.25">
      <c r="A24" t="s">
        <v>9</v>
      </c>
      <c r="B24" t="s">
        <v>10</v>
      </c>
      <c r="C24" s="1">
        <v>12571.8</v>
      </c>
      <c r="D24" s="1">
        <v>125718</v>
      </c>
      <c r="E24" t="s">
        <v>155</v>
      </c>
      <c r="F24" s="2">
        <f t="shared" si="1"/>
        <v>2828.6550000000002</v>
      </c>
      <c r="G24" s="2">
        <v>2.25</v>
      </c>
    </row>
    <row r="25" spans="1:14" hidden="1" x14ac:dyDescent="0.25">
      <c r="A25" t="s">
        <v>9</v>
      </c>
      <c r="B25" t="s">
        <v>10</v>
      </c>
      <c r="C25" s="1">
        <v>12571.8</v>
      </c>
      <c r="D25" s="1">
        <v>125718</v>
      </c>
      <c r="E25" t="s">
        <v>150</v>
      </c>
      <c r="F25" s="2">
        <f t="shared" si="1"/>
        <v>2640.078</v>
      </c>
      <c r="G25" s="2">
        <v>2.1</v>
      </c>
    </row>
    <row r="26" spans="1:14" hidden="1" x14ac:dyDescent="0.25">
      <c r="A26" t="s">
        <v>9</v>
      </c>
      <c r="B26" t="s">
        <v>10</v>
      </c>
      <c r="C26" s="1">
        <v>12571.8</v>
      </c>
      <c r="D26" s="1">
        <v>125718</v>
      </c>
      <c r="E26" t="s">
        <v>151</v>
      </c>
      <c r="F26" s="2">
        <f t="shared" si="1"/>
        <v>2552.0753999999997</v>
      </c>
      <c r="G26" s="2">
        <v>2.0299999999999998</v>
      </c>
    </row>
    <row r="27" spans="1:14" hidden="1" x14ac:dyDescent="0.25">
      <c r="A27" t="s">
        <v>9</v>
      </c>
      <c r="B27" t="s">
        <v>10</v>
      </c>
      <c r="C27" s="1">
        <v>12571.8</v>
      </c>
      <c r="D27" s="1">
        <v>125718</v>
      </c>
      <c r="E27" s="4" t="s">
        <v>96</v>
      </c>
      <c r="F27" s="2">
        <f t="shared" si="1"/>
        <v>9013.980599999999</v>
      </c>
      <c r="G27" s="2">
        <v>7.17</v>
      </c>
    </row>
    <row r="28" spans="1:14" x14ac:dyDescent="0.25">
      <c r="A28" t="str">
        <f>A27</f>
        <v>HIGH GROWTH FUND</v>
      </c>
      <c r="B28" t="s">
        <v>10</v>
      </c>
      <c r="C28" s="1">
        <v>12571.8</v>
      </c>
      <c r="D28" s="1">
        <v>125718</v>
      </c>
      <c r="E28" s="4" t="s">
        <v>8</v>
      </c>
      <c r="F28" s="2">
        <f ca="1">SUMIF(A:A,M28,F:F)</f>
        <v>41989.812000000005</v>
      </c>
      <c r="G28" s="2">
        <f ca="1">SUMIF(A:A,M28,G:G)</f>
        <v>33.4</v>
      </c>
      <c r="I28" s="2">
        <f ca="1">(D28*J28)/100</f>
        <v>83728.187999999995</v>
      </c>
      <c r="J28" s="2">
        <f ca="1">100-G28</f>
        <v>66.599999999999994</v>
      </c>
      <c r="K28" s="2">
        <f>D28/1000</f>
        <v>125.718</v>
      </c>
      <c r="M28" t="str">
        <f>A27</f>
        <v>HIGH GROWTH FUND</v>
      </c>
      <c r="N28" s="2"/>
    </row>
    <row r="29" spans="1:14" hidden="1" x14ac:dyDescent="0.25"/>
    <row r="30" spans="1:14" hidden="1" x14ac:dyDescent="0.25">
      <c r="A30" t="s">
        <v>11</v>
      </c>
      <c r="B30" t="s">
        <v>12</v>
      </c>
      <c r="C30" s="1">
        <v>6859.67</v>
      </c>
      <c r="D30" s="1">
        <v>68596.7</v>
      </c>
      <c r="E30" s="4" t="s">
        <v>93</v>
      </c>
    </row>
    <row r="31" spans="1:14" hidden="1" x14ac:dyDescent="0.25">
      <c r="A31" t="s">
        <v>11</v>
      </c>
      <c r="B31" t="s">
        <v>12</v>
      </c>
      <c r="C31" s="1">
        <v>6859.67</v>
      </c>
      <c r="D31" s="1">
        <v>68596.7</v>
      </c>
      <c r="E31" t="s">
        <v>2</v>
      </c>
      <c r="F31" s="2">
        <f t="shared" ref="F31:F40" si="2">(D31*G31)/100</f>
        <v>3772.8184999999999</v>
      </c>
      <c r="G31" s="2">
        <v>5.5</v>
      </c>
    </row>
    <row r="32" spans="1:14" hidden="1" x14ac:dyDescent="0.25">
      <c r="A32" t="s">
        <v>11</v>
      </c>
      <c r="B32" t="s">
        <v>12</v>
      </c>
      <c r="C32" s="1">
        <v>6859.67</v>
      </c>
      <c r="D32" s="1">
        <v>68596.7</v>
      </c>
      <c r="E32" t="s">
        <v>4</v>
      </c>
      <c r="F32" s="2">
        <f t="shared" si="2"/>
        <v>3567.0284000000001</v>
      </c>
      <c r="G32" s="2">
        <v>5.2</v>
      </c>
    </row>
    <row r="33" spans="1:7" hidden="1" x14ac:dyDescent="0.25">
      <c r="A33" t="s">
        <v>11</v>
      </c>
      <c r="B33" t="s">
        <v>12</v>
      </c>
      <c r="C33" s="1">
        <v>6859.67</v>
      </c>
      <c r="D33" s="1">
        <v>68596.7</v>
      </c>
      <c r="E33" t="s">
        <v>3</v>
      </c>
      <c r="F33" s="2">
        <f t="shared" si="2"/>
        <v>2297.98945</v>
      </c>
      <c r="G33" s="2">
        <v>3.35</v>
      </c>
    </row>
    <row r="34" spans="1:7" hidden="1" x14ac:dyDescent="0.25">
      <c r="A34" t="s">
        <v>11</v>
      </c>
      <c r="B34" t="s">
        <v>12</v>
      </c>
      <c r="C34" s="1">
        <v>6859.67</v>
      </c>
      <c r="D34" s="1">
        <v>68596.7</v>
      </c>
      <c r="E34" t="s">
        <v>6</v>
      </c>
      <c r="F34" s="2">
        <f t="shared" si="2"/>
        <v>1975.5849599999999</v>
      </c>
      <c r="G34" s="2">
        <v>2.88</v>
      </c>
    </row>
    <row r="35" spans="1:7" hidden="1" x14ac:dyDescent="0.25">
      <c r="A35" t="s">
        <v>11</v>
      </c>
      <c r="B35" t="s">
        <v>12</v>
      </c>
      <c r="C35" s="1">
        <v>6859.67</v>
      </c>
      <c r="D35" s="1">
        <v>68596.7</v>
      </c>
      <c r="E35" t="s">
        <v>7</v>
      </c>
      <c r="F35" s="2">
        <f t="shared" si="2"/>
        <v>1886.4092499999999</v>
      </c>
      <c r="G35" s="2">
        <v>2.75</v>
      </c>
    </row>
    <row r="36" spans="1:7" hidden="1" x14ac:dyDescent="0.25">
      <c r="A36" t="s">
        <v>11</v>
      </c>
      <c r="B36" t="s">
        <v>12</v>
      </c>
      <c r="C36" s="1">
        <v>6859.67</v>
      </c>
      <c r="D36" s="1">
        <v>68596.7</v>
      </c>
      <c r="E36" t="s">
        <v>5</v>
      </c>
      <c r="F36" s="2">
        <f t="shared" si="2"/>
        <v>1680.61915</v>
      </c>
      <c r="G36" s="2">
        <v>2.4500000000000002</v>
      </c>
    </row>
    <row r="37" spans="1:7" hidden="1" x14ac:dyDescent="0.25">
      <c r="A37" t="s">
        <v>11</v>
      </c>
      <c r="B37" t="s">
        <v>12</v>
      </c>
      <c r="C37" s="1">
        <v>6859.67</v>
      </c>
      <c r="D37" s="1">
        <v>68596.7</v>
      </c>
      <c r="E37" t="s">
        <v>87</v>
      </c>
      <c r="F37" s="2">
        <f t="shared" si="2"/>
        <v>1481.6887200000001</v>
      </c>
      <c r="G37" s="2">
        <v>2.16</v>
      </c>
    </row>
    <row r="38" spans="1:7" hidden="1" x14ac:dyDescent="0.25">
      <c r="A38" t="s">
        <v>11</v>
      </c>
      <c r="B38" t="s">
        <v>12</v>
      </c>
      <c r="C38" s="1">
        <v>6859.67</v>
      </c>
      <c r="D38" s="1">
        <v>68596.7</v>
      </c>
      <c r="E38" t="s">
        <v>13</v>
      </c>
      <c r="F38" s="2">
        <f t="shared" si="2"/>
        <v>1262.1792799999998</v>
      </c>
      <c r="G38" s="2">
        <v>1.8399999999999999</v>
      </c>
    </row>
    <row r="39" spans="1:7" hidden="1" x14ac:dyDescent="0.25">
      <c r="A39" t="s">
        <v>11</v>
      </c>
      <c r="B39" t="s">
        <v>12</v>
      </c>
      <c r="C39" s="1">
        <v>6859.67</v>
      </c>
      <c r="D39" s="1">
        <v>68596.7</v>
      </c>
      <c r="E39" t="s">
        <v>116</v>
      </c>
      <c r="F39" s="2">
        <f t="shared" si="2"/>
        <v>1241.6002699999999</v>
      </c>
      <c r="G39" s="2">
        <v>1.81</v>
      </c>
    </row>
    <row r="40" spans="1:7" hidden="1" x14ac:dyDescent="0.25">
      <c r="A40" t="s">
        <v>11</v>
      </c>
      <c r="B40" t="s">
        <v>12</v>
      </c>
      <c r="C40" s="1">
        <v>6859.67</v>
      </c>
      <c r="D40" s="1">
        <v>68596.7</v>
      </c>
      <c r="E40" t="s">
        <v>149</v>
      </c>
      <c r="F40" s="2">
        <f t="shared" si="2"/>
        <v>1022.09083</v>
      </c>
      <c r="G40" s="2">
        <v>1.49</v>
      </c>
    </row>
    <row r="41" spans="1:7" hidden="1" x14ac:dyDescent="0.25">
      <c r="A41" t="s">
        <v>11</v>
      </c>
      <c r="B41" t="s">
        <v>12</v>
      </c>
      <c r="C41" s="1">
        <v>6859.67</v>
      </c>
      <c r="D41" s="1">
        <v>68596.7</v>
      </c>
      <c r="E41" s="5" t="s">
        <v>117</v>
      </c>
    </row>
    <row r="42" spans="1:7" hidden="1" x14ac:dyDescent="0.25">
      <c r="A42" t="s">
        <v>11</v>
      </c>
      <c r="B42" t="s">
        <v>12</v>
      </c>
      <c r="C42" s="1">
        <v>6859.67</v>
      </c>
      <c r="D42" s="1">
        <v>68596.7</v>
      </c>
      <c r="E42" s="2" t="s">
        <v>118</v>
      </c>
      <c r="F42" s="2">
        <f t="shared" ref="F42:F51" si="3">(D42*G42)/100</f>
        <v>5419.1393000000007</v>
      </c>
      <c r="G42" s="2">
        <v>7.9</v>
      </c>
    </row>
    <row r="43" spans="1:7" hidden="1" x14ac:dyDescent="0.25">
      <c r="A43" t="s">
        <v>11</v>
      </c>
      <c r="B43" t="s">
        <v>12</v>
      </c>
      <c r="C43" s="1">
        <v>6859.67</v>
      </c>
      <c r="D43" s="1">
        <v>68596.7</v>
      </c>
      <c r="E43" s="2" t="s">
        <v>121</v>
      </c>
      <c r="F43" s="2">
        <f t="shared" si="3"/>
        <v>2414.6038399999998</v>
      </c>
      <c r="G43" s="2">
        <v>3.52</v>
      </c>
    </row>
    <row r="44" spans="1:7" hidden="1" x14ac:dyDescent="0.25">
      <c r="A44" t="s">
        <v>11</v>
      </c>
      <c r="B44" t="s">
        <v>12</v>
      </c>
      <c r="C44" s="1">
        <v>6859.67</v>
      </c>
      <c r="D44" s="1">
        <v>68596.7</v>
      </c>
      <c r="E44" s="2" t="s">
        <v>120</v>
      </c>
      <c r="F44" s="2">
        <f t="shared" si="3"/>
        <v>1865.8302399999998</v>
      </c>
      <c r="G44" s="2">
        <v>2.7199999999999998</v>
      </c>
    </row>
    <row r="45" spans="1:7" hidden="1" x14ac:dyDescent="0.25">
      <c r="A45" t="s">
        <v>11</v>
      </c>
      <c r="B45" t="s">
        <v>12</v>
      </c>
      <c r="C45" s="1">
        <v>6859.67</v>
      </c>
      <c r="D45" s="1">
        <v>68596.7</v>
      </c>
      <c r="E45" s="2" t="s">
        <v>156</v>
      </c>
      <c r="F45" s="2">
        <f t="shared" si="3"/>
        <v>1605.1627799999999</v>
      </c>
      <c r="G45" s="2">
        <v>2.34</v>
      </c>
    </row>
    <row r="46" spans="1:7" hidden="1" x14ac:dyDescent="0.25">
      <c r="A46" t="s">
        <v>11</v>
      </c>
      <c r="B46" t="s">
        <v>12</v>
      </c>
      <c r="C46" s="1">
        <v>6859.67</v>
      </c>
      <c r="D46" s="1">
        <v>68596.7</v>
      </c>
      <c r="E46" s="2" t="s">
        <v>122</v>
      </c>
      <c r="F46" s="2">
        <f t="shared" si="3"/>
        <v>1406.2323500000002</v>
      </c>
      <c r="G46" s="2">
        <v>2.0500000000000003</v>
      </c>
    </row>
    <row r="47" spans="1:7" hidden="1" x14ac:dyDescent="0.25">
      <c r="A47" t="s">
        <v>11</v>
      </c>
      <c r="B47" t="s">
        <v>12</v>
      </c>
      <c r="C47" s="1">
        <v>6859.67</v>
      </c>
      <c r="D47" s="1">
        <v>68596.7</v>
      </c>
      <c r="E47" s="2" t="s">
        <v>124</v>
      </c>
      <c r="F47" s="2">
        <f t="shared" si="3"/>
        <v>583.07195000000002</v>
      </c>
      <c r="G47" s="2">
        <v>0.85000000000000009</v>
      </c>
    </row>
    <row r="48" spans="1:7" hidden="1" x14ac:dyDescent="0.25">
      <c r="A48" t="s">
        <v>11</v>
      </c>
      <c r="B48" t="s">
        <v>12</v>
      </c>
      <c r="C48" s="1">
        <v>6859.67</v>
      </c>
      <c r="D48" s="1">
        <v>68596.7</v>
      </c>
      <c r="E48" s="2" t="s">
        <v>157</v>
      </c>
      <c r="F48" s="2">
        <f t="shared" si="3"/>
        <v>507.61557999999997</v>
      </c>
      <c r="G48" s="2">
        <v>0.74</v>
      </c>
    </row>
    <row r="49" spans="1:14" hidden="1" x14ac:dyDescent="0.25">
      <c r="A49" t="s">
        <v>11</v>
      </c>
      <c r="B49" t="s">
        <v>12</v>
      </c>
      <c r="C49" s="1">
        <v>6859.67</v>
      </c>
      <c r="D49" s="1">
        <v>68596.7</v>
      </c>
      <c r="E49" s="2" t="s">
        <v>125</v>
      </c>
      <c r="F49" s="2">
        <f t="shared" si="3"/>
        <v>493.89623999999998</v>
      </c>
      <c r="G49" s="2">
        <v>0.72</v>
      </c>
    </row>
    <row r="50" spans="1:14" hidden="1" x14ac:dyDescent="0.25">
      <c r="A50" t="s">
        <v>11</v>
      </c>
      <c r="B50" t="s">
        <v>12</v>
      </c>
      <c r="C50" s="1">
        <v>6859.67</v>
      </c>
      <c r="D50" s="1">
        <v>68596.7</v>
      </c>
      <c r="E50" s="2" t="s">
        <v>158</v>
      </c>
      <c r="F50" s="2">
        <f t="shared" si="3"/>
        <v>459.59789000000006</v>
      </c>
      <c r="G50" s="2">
        <v>0.67</v>
      </c>
    </row>
    <row r="51" spans="1:14" hidden="1" x14ac:dyDescent="0.25">
      <c r="A51" t="s">
        <v>11</v>
      </c>
      <c r="B51" t="s">
        <v>12</v>
      </c>
      <c r="C51" s="1">
        <v>6859.67</v>
      </c>
      <c r="D51" s="1">
        <v>68596.7</v>
      </c>
      <c r="E51" s="2" t="s">
        <v>119</v>
      </c>
      <c r="F51" s="2">
        <f t="shared" si="3"/>
        <v>260.66746000000001</v>
      </c>
      <c r="G51" s="2">
        <v>0.38</v>
      </c>
    </row>
    <row r="52" spans="1:14" hidden="1" x14ac:dyDescent="0.25">
      <c r="A52" t="s">
        <v>11</v>
      </c>
      <c r="B52" t="s">
        <v>12</v>
      </c>
      <c r="C52" s="1">
        <v>6859.67</v>
      </c>
      <c r="D52" s="1">
        <v>68596.7</v>
      </c>
      <c r="E52" s="4" t="s">
        <v>126</v>
      </c>
    </row>
    <row r="53" spans="1:14" hidden="1" x14ac:dyDescent="0.25">
      <c r="A53" t="s">
        <v>11</v>
      </c>
      <c r="B53" t="s">
        <v>12</v>
      </c>
      <c r="C53" s="1">
        <v>6859.67</v>
      </c>
      <c r="D53" s="1">
        <v>68596.7</v>
      </c>
      <c r="E53" s="2" t="s">
        <v>127</v>
      </c>
      <c r="F53" s="2">
        <f t="shared" ref="F53:F63" si="4">(D53*G53)/100</f>
        <v>2400.8845000000001</v>
      </c>
      <c r="G53" s="2">
        <v>3.5000000000000004</v>
      </c>
    </row>
    <row r="54" spans="1:14" hidden="1" x14ac:dyDescent="0.25">
      <c r="A54" t="s">
        <v>11</v>
      </c>
      <c r="B54" t="s">
        <v>12</v>
      </c>
      <c r="C54" s="1">
        <v>6859.67</v>
      </c>
      <c r="D54" s="1">
        <v>68596.7</v>
      </c>
      <c r="E54" s="2" t="s">
        <v>128</v>
      </c>
      <c r="F54" s="2">
        <f t="shared" si="4"/>
        <v>1872.6899099999998</v>
      </c>
      <c r="G54" s="2">
        <v>2.73</v>
      </c>
    </row>
    <row r="55" spans="1:14" hidden="1" x14ac:dyDescent="0.25">
      <c r="A55" t="s">
        <v>11</v>
      </c>
      <c r="B55" t="s">
        <v>12</v>
      </c>
      <c r="C55" s="1">
        <v>6859.67</v>
      </c>
      <c r="D55" s="1">
        <v>68596.7</v>
      </c>
      <c r="E55" s="2" t="s">
        <v>129</v>
      </c>
      <c r="F55" s="2">
        <f t="shared" si="4"/>
        <v>1351.3549899999998</v>
      </c>
      <c r="G55" s="2">
        <v>1.97</v>
      </c>
    </row>
    <row r="56" spans="1:14" hidden="1" x14ac:dyDescent="0.25">
      <c r="A56" t="s">
        <v>11</v>
      </c>
      <c r="B56" t="s">
        <v>12</v>
      </c>
      <c r="C56" s="1">
        <v>6859.67</v>
      </c>
      <c r="D56" s="1">
        <v>68596.7</v>
      </c>
      <c r="E56" s="2" t="s">
        <v>159</v>
      </c>
      <c r="F56" s="2">
        <f t="shared" si="4"/>
        <v>747.7040300000001</v>
      </c>
      <c r="G56" s="2">
        <v>1.0900000000000001</v>
      </c>
    </row>
    <row r="57" spans="1:14" hidden="1" x14ac:dyDescent="0.25">
      <c r="A57" t="s">
        <v>11</v>
      </c>
      <c r="B57" t="s">
        <v>12</v>
      </c>
      <c r="C57" s="1">
        <v>6859.67</v>
      </c>
      <c r="D57" s="1">
        <v>68596.7</v>
      </c>
      <c r="E57" s="2" t="s">
        <v>130</v>
      </c>
      <c r="F57" s="2">
        <f t="shared" si="4"/>
        <v>720.26535000000001</v>
      </c>
      <c r="G57" s="2">
        <v>1.05</v>
      </c>
    </row>
    <row r="58" spans="1:14" hidden="1" x14ac:dyDescent="0.25">
      <c r="A58" t="s">
        <v>11</v>
      </c>
      <c r="B58" t="s">
        <v>12</v>
      </c>
      <c r="C58" s="1">
        <v>6859.67</v>
      </c>
      <c r="D58" s="1">
        <v>68596.7</v>
      </c>
      <c r="E58" s="2" t="s">
        <v>131</v>
      </c>
      <c r="F58" s="2">
        <f t="shared" si="4"/>
        <v>665.38798999999995</v>
      </c>
      <c r="G58" s="2">
        <v>0.97</v>
      </c>
    </row>
    <row r="59" spans="1:14" hidden="1" x14ac:dyDescent="0.25">
      <c r="A59" t="s">
        <v>11</v>
      </c>
      <c r="B59" t="s">
        <v>12</v>
      </c>
      <c r="C59" s="1">
        <v>6859.67</v>
      </c>
      <c r="D59" s="1">
        <v>68596.7</v>
      </c>
      <c r="E59" s="2" t="s">
        <v>132</v>
      </c>
      <c r="F59" s="2">
        <f t="shared" si="4"/>
        <v>541.91393000000005</v>
      </c>
      <c r="G59" s="2">
        <v>0.79</v>
      </c>
    </row>
    <row r="60" spans="1:14" hidden="1" x14ac:dyDescent="0.25">
      <c r="A60" t="s">
        <v>11</v>
      </c>
      <c r="B60" t="s">
        <v>12</v>
      </c>
      <c r="C60" s="1">
        <v>6859.67</v>
      </c>
      <c r="D60" s="1">
        <v>68596.7</v>
      </c>
      <c r="E60" s="2" t="s">
        <v>133</v>
      </c>
      <c r="F60" s="2">
        <f t="shared" si="4"/>
        <v>500.75590999999991</v>
      </c>
      <c r="G60" s="2">
        <v>0.73</v>
      </c>
    </row>
    <row r="61" spans="1:14" hidden="1" x14ac:dyDescent="0.25">
      <c r="A61" t="s">
        <v>11</v>
      </c>
      <c r="B61" t="s">
        <v>12</v>
      </c>
      <c r="C61" s="1">
        <v>6859.67</v>
      </c>
      <c r="D61" s="1">
        <v>68596.7</v>
      </c>
      <c r="E61" t="s">
        <v>134</v>
      </c>
      <c r="F61" s="2">
        <f t="shared" si="4"/>
        <v>432.15921000000003</v>
      </c>
      <c r="G61" s="2">
        <v>0.63</v>
      </c>
    </row>
    <row r="62" spans="1:14" hidden="1" x14ac:dyDescent="0.25">
      <c r="A62" t="s">
        <v>11</v>
      </c>
      <c r="B62" t="s">
        <v>12</v>
      </c>
      <c r="C62" s="1">
        <v>6859.67</v>
      </c>
      <c r="D62" s="1">
        <v>68596.7</v>
      </c>
      <c r="E62" t="s">
        <v>135</v>
      </c>
      <c r="F62" s="2">
        <f t="shared" si="4"/>
        <v>391.00119000000007</v>
      </c>
      <c r="G62" s="2">
        <v>0.57000000000000006</v>
      </c>
    </row>
    <row r="63" spans="1:14" hidden="1" x14ac:dyDescent="0.25">
      <c r="A63" t="s">
        <v>11</v>
      </c>
      <c r="B63" t="s">
        <v>12</v>
      </c>
      <c r="C63" s="1">
        <v>6859.67</v>
      </c>
      <c r="D63" s="1">
        <v>68596.7</v>
      </c>
      <c r="E63" s="4" t="s">
        <v>96</v>
      </c>
      <c r="F63" s="2">
        <f t="shared" si="4"/>
        <v>1900.12859</v>
      </c>
      <c r="G63" s="2">
        <v>2.77</v>
      </c>
    </row>
    <row r="64" spans="1:14" x14ac:dyDescent="0.25">
      <c r="A64" t="str">
        <f>A63</f>
        <v>UL LIFE GROWTH FUND</v>
      </c>
      <c r="B64" t="s">
        <v>12</v>
      </c>
      <c r="C64" s="1">
        <v>6859.67</v>
      </c>
      <c r="D64" s="1">
        <v>68596.7</v>
      </c>
      <c r="E64" s="4" t="s">
        <v>8</v>
      </c>
      <c r="F64" s="2">
        <f ca="1">SUMIF(A:A,M64,F:F)</f>
        <v>46728.072039999999</v>
      </c>
      <c r="G64" s="2">
        <f ca="1">SUMIF(A:A,M64,G:G)</f>
        <v>68.119999999999976</v>
      </c>
      <c r="I64" s="2">
        <f ca="1">(D64*J64)/100</f>
        <v>21868.627960000016</v>
      </c>
      <c r="J64" s="2">
        <f ca="1">100-G64</f>
        <v>31.880000000000024</v>
      </c>
      <c r="K64" s="2">
        <f>D64/1000</f>
        <v>68.596699999999998</v>
      </c>
      <c r="M64" t="str">
        <f>A63</f>
        <v>UL LIFE GROWTH FUND</v>
      </c>
      <c r="N64" s="2"/>
    </row>
    <row r="65" spans="1:7" hidden="1" x14ac:dyDescent="0.25"/>
    <row r="66" spans="1:7" hidden="1" x14ac:dyDescent="0.25">
      <c r="A66" t="s">
        <v>14</v>
      </c>
      <c r="B66" t="s">
        <v>15</v>
      </c>
      <c r="C66" s="1">
        <v>2125.3000000000002</v>
      </c>
      <c r="D66" s="1">
        <v>21253</v>
      </c>
      <c r="E66" s="4" t="s">
        <v>93</v>
      </c>
    </row>
    <row r="67" spans="1:7" hidden="1" x14ac:dyDescent="0.25">
      <c r="A67" t="s">
        <v>14</v>
      </c>
      <c r="B67" t="s">
        <v>15</v>
      </c>
      <c r="C67" s="1">
        <v>2125.3000000000002</v>
      </c>
      <c r="D67" s="1">
        <v>21253</v>
      </c>
      <c r="E67" t="s">
        <v>2</v>
      </c>
      <c r="F67" s="2">
        <f t="shared" ref="F67:F76" si="5">(D67*G67)/100</f>
        <v>707.72490000000005</v>
      </c>
      <c r="G67" s="2">
        <v>3.3300000000000005</v>
      </c>
    </row>
    <row r="68" spans="1:7" hidden="1" x14ac:dyDescent="0.25">
      <c r="A68" t="s">
        <v>14</v>
      </c>
      <c r="B68" t="s">
        <v>15</v>
      </c>
      <c r="C68" s="1">
        <v>2125.3000000000002</v>
      </c>
      <c r="D68" s="1">
        <v>21253</v>
      </c>
      <c r="E68" t="s">
        <v>4</v>
      </c>
      <c r="F68" s="2">
        <f t="shared" si="5"/>
        <v>646.09120000000007</v>
      </c>
      <c r="G68" s="2">
        <v>3.04</v>
      </c>
    </row>
    <row r="69" spans="1:7" hidden="1" x14ac:dyDescent="0.25">
      <c r="A69" t="s">
        <v>14</v>
      </c>
      <c r="B69" t="s">
        <v>15</v>
      </c>
      <c r="C69" s="1">
        <v>2125.3000000000002</v>
      </c>
      <c r="D69" s="1">
        <v>21253</v>
      </c>
      <c r="E69" t="s">
        <v>3</v>
      </c>
      <c r="F69" s="2">
        <f t="shared" si="5"/>
        <v>359.17570000000001</v>
      </c>
      <c r="G69" s="2">
        <v>1.69</v>
      </c>
    </row>
    <row r="70" spans="1:7" hidden="1" x14ac:dyDescent="0.25">
      <c r="A70" t="s">
        <v>14</v>
      </c>
      <c r="B70" t="s">
        <v>15</v>
      </c>
      <c r="C70" s="1">
        <v>2125.3000000000002</v>
      </c>
      <c r="D70" s="1">
        <v>21253</v>
      </c>
      <c r="E70" t="s">
        <v>6</v>
      </c>
      <c r="F70" s="2">
        <f t="shared" si="5"/>
        <v>335.79739999999998</v>
      </c>
      <c r="G70" s="2">
        <v>1.58</v>
      </c>
    </row>
    <row r="71" spans="1:7" hidden="1" x14ac:dyDescent="0.25">
      <c r="A71" t="s">
        <v>14</v>
      </c>
      <c r="B71" t="s">
        <v>15</v>
      </c>
      <c r="C71" s="1">
        <v>2125.3000000000002</v>
      </c>
      <c r="D71" s="1">
        <v>21253</v>
      </c>
      <c r="E71" t="s">
        <v>7</v>
      </c>
      <c r="F71" s="2">
        <f t="shared" si="5"/>
        <v>323.04560000000004</v>
      </c>
      <c r="G71" s="2">
        <v>1.52</v>
      </c>
    </row>
    <row r="72" spans="1:7" hidden="1" x14ac:dyDescent="0.25">
      <c r="A72" t="s">
        <v>14</v>
      </c>
      <c r="B72" t="s">
        <v>15</v>
      </c>
      <c r="C72" s="1">
        <v>2125.3000000000002</v>
      </c>
      <c r="D72" s="1">
        <v>21253</v>
      </c>
      <c r="E72" t="s">
        <v>5</v>
      </c>
      <c r="F72" s="2">
        <f t="shared" si="5"/>
        <v>308.16849999999999</v>
      </c>
      <c r="G72" s="2">
        <v>1.4500000000000002</v>
      </c>
    </row>
    <row r="73" spans="1:7" hidden="1" x14ac:dyDescent="0.25">
      <c r="A73" t="s">
        <v>14</v>
      </c>
      <c r="B73" t="s">
        <v>15</v>
      </c>
      <c r="C73" s="1">
        <v>2125.3000000000002</v>
      </c>
      <c r="D73" s="1">
        <v>21253</v>
      </c>
      <c r="E73" t="s">
        <v>116</v>
      </c>
      <c r="F73" s="2">
        <f t="shared" si="5"/>
        <v>303.91789999999997</v>
      </c>
      <c r="G73" s="2">
        <v>1.43</v>
      </c>
    </row>
    <row r="74" spans="1:7" hidden="1" x14ac:dyDescent="0.25">
      <c r="A74" t="s">
        <v>14</v>
      </c>
      <c r="B74" t="s">
        <v>15</v>
      </c>
      <c r="C74" s="1">
        <v>2125.3000000000002</v>
      </c>
      <c r="D74" s="1">
        <v>21253</v>
      </c>
      <c r="E74" t="s">
        <v>87</v>
      </c>
      <c r="F74" s="2">
        <f t="shared" si="5"/>
        <v>291.16610000000003</v>
      </c>
      <c r="G74" s="2">
        <v>1.37</v>
      </c>
    </row>
    <row r="75" spans="1:7" hidden="1" x14ac:dyDescent="0.25">
      <c r="A75" t="s">
        <v>14</v>
      </c>
      <c r="B75" t="s">
        <v>15</v>
      </c>
      <c r="C75" s="1">
        <v>2125.3000000000002</v>
      </c>
      <c r="D75" s="1">
        <v>21253</v>
      </c>
      <c r="E75" t="s">
        <v>13</v>
      </c>
      <c r="F75" s="2">
        <f t="shared" si="5"/>
        <v>244.40949999999998</v>
      </c>
      <c r="G75" s="2">
        <v>1.1499999999999999</v>
      </c>
    </row>
    <row r="76" spans="1:7" hidden="1" x14ac:dyDescent="0.25">
      <c r="A76" t="s">
        <v>14</v>
      </c>
      <c r="B76" t="s">
        <v>15</v>
      </c>
      <c r="C76" s="1">
        <v>2125.3000000000002</v>
      </c>
      <c r="D76" s="1">
        <v>21253</v>
      </c>
      <c r="E76" t="s">
        <v>149</v>
      </c>
      <c r="F76" s="2">
        <f t="shared" si="5"/>
        <v>206.1541</v>
      </c>
      <c r="G76" s="2">
        <v>0.97</v>
      </c>
    </row>
    <row r="77" spans="1:7" hidden="1" x14ac:dyDescent="0.25">
      <c r="A77" t="s">
        <v>14</v>
      </c>
      <c r="B77" t="s">
        <v>15</v>
      </c>
      <c r="C77" s="1">
        <v>2125.3000000000002</v>
      </c>
      <c r="D77" s="1">
        <v>21253</v>
      </c>
      <c r="E77" s="4" t="s">
        <v>117</v>
      </c>
    </row>
    <row r="78" spans="1:7" hidden="1" x14ac:dyDescent="0.25">
      <c r="A78" t="s">
        <v>14</v>
      </c>
      <c r="B78" t="s">
        <v>15</v>
      </c>
      <c r="C78" s="1">
        <v>2125.3000000000002</v>
      </c>
      <c r="D78" s="1">
        <v>21253</v>
      </c>
      <c r="E78" t="s">
        <v>118</v>
      </c>
      <c r="F78" s="2">
        <f t="shared" ref="F78:F87" si="6">(D78*G78)/100</f>
        <v>3442.9859999999999</v>
      </c>
      <c r="G78" s="2">
        <v>16.2</v>
      </c>
    </row>
    <row r="79" spans="1:7" hidden="1" x14ac:dyDescent="0.25">
      <c r="A79" t="s">
        <v>14</v>
      </c>
      <c r="B79" t="s">
        <v>15</v>
      </c>
      <c r="C79" s="1">
        <v>2125.3000000000002</v>
      </c>
      <c r="D79" s="1">
        <v>21253</v>
      </c>
      <c r="E79" t="s">
        <v>122</v>
      </c>
      <c r="F79" s="2">
        <f t="shared" si="6"/>
        <v>1003.1415999999999</v>
      </c>
      <c r="G79" s="2">
        <v>4.72</v>
      </c>
    </row>
    <row r="80" spans="1:7" hidden="1" x14ac:dyDescent="0.25">
      <c r="A80" t="s">
        <v>14</v>
      </c>
      <c r="B80" t="s">
        <v>15</v>
      </c>
      <c r="C80" s="1">
        <v>2125.3000000000002</v>
      </c>
      <c r="D80" s="1">
        <v>21253</v>
      </c>
      <c r="E80" t="s">
        <v>160</v>
      </c>
      <c r="F80" s="2">
        <f t="shared" si="6"/>
        <v>454.81419999999991</v>
      </c>
      <c r="G80" s="2">
        <v>2.1399999999999997</v>
      </c>
    </row>
    <row r="81" spans="1:7" hidden="1" x14ac:dyDescent="0.25">
      <c r="A81" t="s">
        <v>14</v>
      </c>
      <c r="B81" t="s">
        <v>15</v>
      </c>
      <c r="C81" s="1">
        <v>2125.3000000000002</v>
      </c>
      <c r="D81" s="1">
        <v>21253</v>
      </c>
      <c r="E81" t="s">
        <v>125</v>
      </c>
      <c r="F81" s="2">
        <f t="shared" si="6"/>
        <v>446.31300000000005</v>
      </c>
      <c r="G81" s="2">
        <v>2.1</v>
      </c>
    </row>
    <row r="82" spans="1:7" hidden="1" x14ac:dyDescent="0.25">
      <c r="A82" t="s">
        <v>14</v>
      </c>
      <c r="B82" t="s">
        <v>15</v>
      </c>
      <c r="C82" s="1">
        <v>2125.3000000000002</v>
      </c>
      <c r="D82" s="1">
        <v>21253</v>
      </c>
      <c r="E82" t="s">
        <v>156</v>
      </c>
      <c r="F82" s="2">
        <f t="shared" si="6"/>
        <v>408.05760000000004</v>
      </c>
      <c r="G82" s="2">
        <v>1.92</v>
      </c>
    </row>
    <row r="83" spans="1:7" hidden="1" x14ac:dyDescent="0.25">
      <c r="A83" t="s">
        <v>14</v>
      </c>
      <c r="B83" t="s">
        <v>15</v>
      </c>
      <c r="C83" s="1">
        <v>2125.3000000000002</v>
      </c>
      <c r="D83" s="1">
        <v>21253</v>
      </c>
      <c r="E83" t="s">
        <v>161</v>
      </c>
      <c r="F83" s="2">
        <f t="shared" si="6"/>
        <v>248.66009999999997</v>
      </c>
      <c r="G83" s="2">
        <v>1.17</v>
      </c>
    </row>
    <row r="84" spans="1:7" hidden="1" x14ac:dyDescent="0.25">
      <c r="A84" t="s">
        <v>14</v>
      </c>
      <c r="B84" t="s">
        <v>15</v>
      </c>
      <c r="C84" s="1">
        <v>2125.3000000000002</v>
      </c>
      <c r="D84" s="1">
        <v>21253</v>
      </c>
      <c r="E84" t="s">
        <v>162</v>
      </c>
      <c r="F84" s="2">
        <f t="shared" si="6"/>
        <v>246.53479999999999</v>
      </c>
      <c r="G84" s="2">
        <v>1.1599999999999999</v>
      </c>
    </row>
    <row r="85" spans="1:7" hidden="1" x14ac:dyDescent="0.25">
      <c r="A85" t="s">
        <v>14</v>
      </c>
      <c r="B85" t="s">
        <v>15</v>
      </c>
      <c r="C85" s="1">
        <v>2125.3000000000002</v>
      </c>
      <c r="D85" s="1">
        <v>21253</v>
      </c>
      <c r="E85" t="s">
        <v>119</v>
      </c>
      <c r="F85" s="2">
        <f t="shared" si="6"/>
        <v>95.638499999999979</v>
      </c>
      <c r="G85" s="2">
        <v>0.44999999999999996</v>
      </c>
    </row>
    <row r="86" spans="1:7" hidden="1" x14ac:dyDescent="0.25">
      <c r="A86" t="s">
        <v>14</v>
      </c>
      <c r="B86" t="s">
        <v>15</v>
      </c>
      <c r="C86" s="1">
        <v>2125.3000000000002</v>
      </c>
      <c r="D86" s="1">
        <v>21253</v>
      </c>
      <c r="E86" t="s">
        <v>120</v>
      </c>
      <c r="F86" s="2">
        <f t="shared" si="6"/>
        <v>85.012</v>
      </c>
      <c r="G86" s="2">
        <v>0.4</v>
      </c>
    </row>
    <row r="87" spans="1:7" hidden="1" x14ac:dyDescent="0.25">
      <c r="A87" t="s">
        <v>14</v>
      </c>
      <c r="B87" t="s">
        <v>15</v>
      </c>
      <c r="C87" s="1">
        <v>2125.3000000000002</v>
      </c>
      <c r="D87" s="1">
        <v>21253</v>
      </c>
      <c r="E87" t="s">
        <v>163</v>
      </c>
      <c r="F87" s="2">
        <f t="shared" si="6"/>
        <v>78.636099999999999</v>
      </c>
      <c r="G87" s="2">
        <v>0.37</v>
      </c>
    </row>
    <row r="88" spans="1:7" hidden="1" x14ac:dyDescent="0.25">
      <c r="A88" t="s">
        <v>14</v>
      </c>
      <c r="B88" t="s">
        <v>15</v>
      </c>
      <c r="C88" s="1">
        <v>2125.3000000000002</v>
      </c>
      <c r="D88" s="1">
        <v>21253</v>
      </c>
      <c r="E88" s="4" t="s">
        <v>126</v>
      </c>
    </row>
    <row r="89" spans="1:7" hidden="1" x14ac:dyDescent="0.25">
      <c r="A89" t="s">
        <v>14</v>
      </c>
      <c r="B89" t="s">
        <v>15</v>
      </c>
      <c r="C89" s="1">
        <v>2125.3000000000002</v>
      </c>
      <c r="D89" s="1">
        <v>21253</v>
      </c>
      <c r="E89" t="s">
        <v>127</v>
      </c>
      <c r="F89" s="2">
        <f t="shared" ref="F89:F99" si="7">(D89*G89)/100</f>
        <v>813.98990000000003</v>
      </c>
      <c r="G89" s="2">
        <v>3.83</v>
      </c>
    </row>
    <row r="90" spans="1:7" hidden="1" x14ac:dyDescent="0.25">
      <c r="A90" t="s">
        <v>14</v>
      </c>
      <c r="B90" t="s">
        <v>15</v>
      </c>
      <c r="C90" s="1">
        <v>2125.3000000000002</v>
      </c>
      <c r="D90" s="1">
        <v>21253</v>
      </c>
      <c r="E90" t="s">
        <v>136</v>
      </c>
      <c r="F90" s="2">
        <f t="shared" si="7"/>
        <v>635.46469999999999</v>
      </c>
      <c r="G90" s="2">
        <v>2.9899999999999998</v>
      </c>
    </row>
    <row r="91" spans="1:7" hidden="1" x14ac:dyDescent="0.25">
      <c r="A91" t="s">
        <v>14</v>
      </c>
      <c r="B91" t="s">
        <v>15</v>
      </c>
      <c r="C91" s="1">
        <v>2125.3000000000002</v>
      </c>
      <c r="D91" s="1">
        <v>21253</v>
      </c>
      <c r="E91" t="s">
        <v>129</v>
      </c>
      <c r="F91" s="2">
        <f t="shared" si="7"/>
        <v>490.9443</v>
      </c>
      <c r="G91" s="2">
        <v>2.31</v>
      </c>
    </row>
    <row r="92" spans="1:7" hidden="1" x14ac:dyDescent="0.25">
      <c r="A92" t="s">
        <v>14</v>
      </c>
      <c r="B92" t="s">
        <v>15</v>
      </c>
      <c r="C92" s="1">
        <v>2125.3000000000002</v>
      </c>
      <c r="D92" s="1">
        <v>21253</v>
      </c>
      <c r="E92" t="s">
        <v>128</v>
      </c>
      <c r="F92" s="2">
        <f t="shared" si="7"/>
        <v>488.81899999999996</v>
      </c>
      <c r="G92" s="2">
        <v>2.2999999999999998</v>
      </c>
    </row>
    <row r="93" spans="1:7" hidden="1" x14ac:dyDescent="0.25">
      <c r="A93" t="s">
        <v>14</v>
      </c>
      <c r="B93" t="s">
        <v>15</v>
      </c>
      <c r="C93" s="1">
        <v>2125.3000000000002</v>
      </c>
      <c r="D93" s="1">
        <v>21253</v>
      </c>
      <c r="E93" t="s">
        <v>164</v>
      </c>
      <c r="F93" s="2">
        <f t="shared" si="7"/>
        <v>408.05760000000004</v>
      </c>
      <c r="G93" s="2">
        <v>1.92</v>
      </c>
    </row>
    <row r="94" spans="1:7" hidden="1" x14ac:dyDescent="0.25">
      <c r="A94" t="s">
        <v>14</v>
      </c>
      <c r="B94" t="s">
        <v>15</v>
      </c>
      <c r="C94" s="1">
        <v>2125.3000000000002</v>
      </c>
      <c r="D94" s="1">
        <v>21253</v>
      </c>
      <c r="E94" t="s">
        <v>133</v>
      </c>
      <c r="F94" s="2">
        <f t="shared" si="7"/>
        <v>348.54920000000004</v>
      </c>
      <c r="G94" s="2">
        <v>1.6400000000000001</v>
      </c>
    </row>
    <row r="95" spans="1:7" hidden="1" x14ac:dyDescent="0.25">
      <c r="A95" t="s">
        <v>14</v>
      </c>
      <c r="B95" t="s">
        <v>15</v>
      </c>
      <c r="C95" s="1">
        <v>2125.3000000000002</v>
      </c>
      <c r="D95" s="1">
        <v>21253</v>
      </c>
      <c r="E95" t="s">
        <v>165</v>
      </c>
      <c r="F95" s="2">
        <f t="shared" si="7"/>
        <v>331.54679999999991</v>
      </c>
      <c r="G95" s="2">
        <v>1.5599999999999998</v>
      </c>
    </row>
    <row r="96" spans="1:7" hidden="1" x14ac:dyDescent="0.25">
      <c r="A96" t="s">
        <v>14</v>
      </c>
      <c r="B96" t="s">
        <v>15</v>
      </c>
      <c r="C96" s="1">
        <v>2125.3000000000002</v>
      </c>
      <c r="D96" s="1">
        <v>21253</v>
      </c>
      <c r="E96" t="s">
        <v>132</v>
      </c>
      <c r="F96" s="2">
        <f t="shared" si="7"/>
        <v>252.91070000000002</v>
      </c>
      <c r="G96" s="2">
        <v>1.1900000000000002</v>
      </c>
    </row>
    <row r="97" spans="1:14" hidden="1" x14ac:dyDescent="0.25">
      <c r="A97" t="s">
        <v>14</v>
      </c>
      <c r="B97" t="s">
        <v>15</v>
      </c>
      <c r="C97" s="1">
        <v>2125.3000000000002</v>
      </c>
      <c r="D97" s="1">
        <v>21253</v>
      </c>
      <c r="E97" t="s">
        <v>159</v>
      </c>
      <c r="F97" s="2">
        <f t="shared" si="7"/>
        <v>248.66009999999997</v>
      </c>
      <c r="G97" s="2">
        <v>1.17</v>
      </c>
    </row>
    <row r="98" spans="1:14" hidden="1" x14ac:dyDescent="0.25">
      <c r="A98" t="s">
        <v>14</v>
      </c>
      <c r="B98" t="s">
        <v>15</v>
      </c>
      <c r="C98" s="1">
        <v>2125.3000000000002</v>
      </c>
      <c r="D98" s="1">
        <v>21253</v>
      </c>
      <c r="E98" t="s">
        <v>166</v>
      </c>
      <c r="F98" s="2">
        <f t="shared" si="7"/>
        <v>248.66009999999997</v>
      </c>
      <c r="G98" s="2">
        <v>1.17</v>
      </c>
    </row>
    <row r="99" spans="1:14" hidden="1" x14ac:dyDescent="0.25">
      <c r="A99" t="s">
        <v>14</v>
      </c>
      <c r="B99" t="s">
        <v>15</v>
      </c>
      <c r="C99" s="1">
        <v>2125.3000000000002</v>
      </c>
      <c r="D99" s="1">
        <v>21253</v>
      </c>
      <c r="E99" s="4" t="s">
        <v>96</v>
      </c>
      <c r="F99" s="2">
        <f t="shared" si="7"/>
        <v>907.50310000000013</v>
      </c>
      <c r="G99" s="2">
        <v>4.2700000000000005</v>
      </c>
    </row>
    <row r="100" spans="1:14" x14ac:dyDescent="0.25">
      <c r="A100" t="str">
        <f>A99</f>
        <v>UL LIFE BALANCED FUND</v>
      </c>
      <c r="B100" t="s">
        <v>15</v>
      </c>
      <c r="C100" s="1">
        <v>2125.3000000000002</v>
      </c>
      <c r="D100" s="1">
        <v>21253</v>
      </c>
      <c r="E100" s="4" t="s">
        <v>8</v>
      </c>
      <c r="F100" s="2">
        <f ca="1">SUMIF(A:A,M100,F:F)</f>
        <v>15410.550299999995</v>
      </c>
      <c r="G100" s="2">
        <f ca="1">SUMIF(A:A,M100,G:G)</f>
        <v>72.509999999999991</v>
      </c>
      <c r="I100" s="2">
        <f ca="1">(D100*J100)/100</f>
        <v>5842.4497000000019</v>
      </c>
      <c r="J100" s="2">
        <f ca="1">100-G100</f>
        <v>27.490000000000009</v>
      </c>
      <c r="K100" s="2">
        <f>D100/1000</f>
        <v>21.253</v>
      </c>
      <c r="M100" t="str">
        <f>A99</f>
        <v>UL LIFE BALANCED FUND</v>
      </c>
      <c r="N100" s="2"/>
    </row>
    <row r="101" spans="1:14" hidden="1" x14ac:dyDescent="0.25"/>
    <row r="102" spans="1:14" hidden="1" x14ac:dyDescent="0.25">
      <c r="A102" t="s">
        <v>16</v>
      </c>
      <c r="B102" t="s">
        <v>17</v>
      </c>
      <c r="C102" s="2">
        <v>189.46</v>
      </c>
      <c r="D102" s="1">
        <v>1894.6000000000001</v>
      </c>
      <c r="E102" s="4" t="s">
        <v>93</v>
      </c>
    </row>
    <row r="103" spans="1:14" hidden="1" x14ac:dyDescent="0.25">
      <c r="A103" t="s">
        <v>16</v>
      </c>
      <c r="B103" t="s">
        <v>17</v>
      </c>
      <c r="C103" s="2">
        <v>189.46</v>
      </c>
      <c r="D103" s="1">
        <v>1894.6000000000001</v>
      </c>
      <c r="E103" t="s">
        <v>2</v>
      </c>
      <c r="F103" s="2">
        <f t="shared" ref="F103:F112" si="8">(D103*G103)/100</f>
        <v>20.651140000000005</v>
      </c>
      <c r="G103" s="2">
        <v>1.0900000000000001</v>
      </c>
    </row>
    <row r="104" spans="1:14" hidden="1" x14ac:dyDescent="0.25">
      <c r="A104" t="s">
        <v>16</v>
      </c>
      <c r="B104" t="s">
        <v>17</v>
      </c>
      <c r="C104" s="2">
        <v>189.46</v>
      </c>
      <c r="D104" s="1">
        <v>1894.6000000000001</v>
      </c>
      <c r="E104" t="s">
        <v>4</v>
      </c>
      <c r="F104" s="2">
        <f t="shared" si="8"/>
        <v>17.809240000000003</v>
      </c>
      <c r="G104" s="2">
        <v>0.94000000000000006</v>
      </c>
    </row>
    <row r="105" spans="1:14" hidden="1" x14ac:dyDescent="0.25">
      <c r="A105" t="s">
        <v>16</v>
      </c>
      <c r="B105" t="s">
        <v>17</v>
      </c>
      <c r="C105" s="2">
        <v>189.46</v>
      </c>
      <c r="D105" s="1">
        <v>1894.6000000000001</v>
      </c>
      <c r="E105" t="s">
        <v>3</v>
      </c>
      <c r="F105" s="2">
        <f t="shared" si="8"/>
        <v>11.367599999999999</v>
      </c>
      <c r="G105" s="2">
        <v>0.6</v>
      </c>
    </row>
    <row r="106" spans="1:14" hidden="1" x14ac:dyDescent="0.25">
      <c r="A106" t="s">
        <v>16</v>
      </c>
      <c r="B106" t="s">
        <v>17</v>
      </c>
      <c r="C106" s="2">
        <v>189.46</v>
      </c>
      <c r="D106" s="1">
        <v>1894.6000000000001</v>
      </c>
      <c r="E106" t="s">
        <v>7</v>
      </c>
      <c r="F106" s="2">
        <f t="shared" si="8"/>
        <v>10.988679999999999</v>
      </c>
      <c r="G106" s="2">
        <v>0.57999999999999996</v>
      </c>
    </row>
    <row r="107" spans="1:14" hidden="1" x14ac:dyDescent="0.25">
      <c r="A107" t="s">
        <v>16</v>
      </c>
      <c r="B107" t="s">
        <v>17</v>
      </c>
      <c r="C107" s="2">
        <v>189.46</v>
      </c>
      <c r="D107" s="1">
        <v>1894.6000000000001</v>
      </c>
      <c r="E107" t="s">
        <v>137</v>
      </c>
      <c r="F107" s="2">
        <f t="shared" si="8"/>
        <v>9.4730000000000008</v>
      </c>
      <c r="G107" s="2">
        <v>0.5</v>
      </c>
    </row>
    <row r="108" spans="1:14" hidden="1" x14ac:dyDescent="0.25">
      <c r="A108" t="s">
        <v>16</v>
      </c>
      <c r="B108" t="s">
        <v>17</v>
      </c>
      <c r="C108" s="2">
        <v>189.46</v>
      </c>
      <c r="D108" s="1">
        <v>1894.6000000000001</v>
      </c>
      <c r="E108" t="s">
        <v>5</v>
      </c>
      <c r="F108" s="2">
        <f t="shared" si="8"/>
        <v>8.7151599999999991</v>
      </c>
      <c r="G108" s="2">
        <v>0.45999999999999996</v>
      </c>
    </row>
    <row r="109" spans="1:14" hidden="1" x14ac:dyDescent="0.25">
      <c r="A109" t="s">
        <v>16</v>
      </c>
      <c r="B109" t="s">
        <v>17</v>
      </c>
      <c r="C109" s="2">
        <v>189.46</v>
      </c>
      <c r="D109" s="1">
        <v>1894.6000000000001</v>
      </c>
      <c r="E109" t="s">
        <v>6</v>
      </c>
      <c r="F109" s="2">
        <f t="shared" si="8"/>
        <v>8.5256999999999987</v>
      </c>
      <c r="G109" s="2">
        <v>0.44999999999999996</v>
      </c>
    </row>
    <row r="110" spans="1:14" hidden="1" x14ac:dyDescent="0.25">
      <c r="A110" t="s">
        <v>16</v>
      </c>
      <c r="B110" t="s">
        <v>17</v>
      </c>
      <c r="C110" s="2">
        <v>189.46</v>
      </c>
      <c r="D110" s="1">
        <v>1894.6000000000001</v>
      </c>
      <c r="E110" t="s">
        <v>138</v>
      </c>
      <c r="F110" s="2">
        <f t="shared" si="8"/>
        <v>7.7678600000000007</v>
      </c>
      <c r="G110" s="2">
        <v>0.41000000000000003</v>
      </c>
    </row>
    <row r="111" spans="1:14" hidden="1" x14ac:dyDescent="0.25">
      <c r="A111" t="s">
        <v>16</v>
      </c>
      <c r="B111" t="s">
        <v>17</v>
      </c>
      <c r="C111" s="2">
        <v>189.46</v>
      </c>
      <c r="D111" s="1">
        <v>1894.6000000000001</v>
      </c>
      <c r="E111" t="s">
        <v>116</v>
      </c>
      <c r="F111" s="2">
        <f t="shared" si="8"/>
        <v>7.7678600000000007</v>
      </c>
      <c r="G111" s="2">
        <v>0.41000000000000003</v>
      </c>
    </row>
    <row r="112" spans="1:14" hidden="1" x14ac:dyDescent="0.25">
      <c r="A112" t="s">
        <v>16</v>
      </c>
      <c r="B112" t="s">
        <v>17</v>
      </c>
      <c r="C112" s="2">
        <v>189.46</v>
      </c>
      <c r="D112" s="1">
        <v>1894.6000000000001</v>
      </c>
      <c r="E112" t="s">
        <v>13</v>
      </c>
      <c r="F112" s="2">
        <f t="shared" si="8"/>
        <v>6.4416399999999996</v>
      </c>
      <c r="G112" s="2">
        <v>0.33999999999999997</v>
      </c>
    </row>
    <row r="113" spans="1:7" hidden="1" x14ac:dyDescent="0.25">
      <c r="A113" t="s">
        <v>16</v>
      </c>
      <c r="B113" t="s">
        <v>17</v>
      </c>
      <c r="C113" s="2">
        <v>189.46</v>
      </c>
      <c r="D113" s="1">
        <v>1894.6000000000001</v>
      </c>
      <c r="E113" s="5" t="s">
        <v>117</v>
      </c>
    </row>
    <row r="114" spans="1:7" hidden="1" x14ac:dyDescent="0.25">
      <c r="A114" t="s">
        <v>16</v>
      </c>
      <c r="B114" t="s">
        <v>17</v>
      </c>
      <c r="C114" s="2">
        <v>189.46</v>
      </c>
      <c r="D114" s="1">
        <v>1894.6000000000001</v>
      </c>
      <c r="E114" s="2" t="s">
        <v>156</v>
      </c>
      <c r="F114" s="2">
        <f t="shared" ref="F114:F123" si="9">(D114*G114)/100</f>
        <v>346.33287999999999</v>
      </c>
      <c r="G114" s="2">
        <v>18.279999999999998</v>
      </c>
    </row>
    <row r="115" spans="1:7" hidden="1" x14ac:dyDescent="0.25">
      <c r="A115" t="s">
        <v>16</v>
      </c>
      <c r="B115" t="s">
        <v>17</v>
      </c>
      <c r="C115" s="2">
        <v>189.46</v>
      </c>
      <c r="D115" s="1">
        <v>1894.6000000000001</v>
      </c>
      <c r="E115" s="2" t="s">
        <v>123</v>
      </c>
      <c r="F115" s="2">
        <f t="shared" si="9"/>
        <v>256.7183</v>
      </c>
      <c r="G115" s="2">
        <v>13.55</v>
      </c>
    </row>
    <row r="116" spans="1:7" hidden="1" x14ac:dyDescent="0.25">
      <c r="A116" t="s">
        <v>16</v>
      </c>
      <c r="B116" t="s">
        <v>17</v>
      </c>
      <c r="C116" s="2">
        <v>189.46</v>
      </c>
      <c r="D116" s="1">
        <v>1894.6000000000001</v>
      </c>
      <c r="E116" s="2" t="s">
        <v>118</v>
      </c>
      <c r="F116" s="2">
        <f t="shared" si="9"/>
        <v>239.28797999999998</v>
      </c>
      <c r="G116" s="2">
        <v>12.629999999999999</v>
      </c>
    </row>
    <row r="117" spans="1:7" hidden="1" x14ac:dyDescent="0.25">
      <c r="A117" t="s">
        <v>16</v>
      </c>
      <c r="B117" t="s">
        <v>17</v>
      </c>
      <c r="C117" s="2">
        <v>189.46</v>
      </c>
      <c r="D117" s="1">
        <v>1894.6000000000001</v>
      </c>
      <c r="E117" s="2" t="s">
        <v>121</v>
      </c>
      <c r="F117" s="2">
        <f t="shared" si="9"/>
        <v>146.26312000000001</v>
      </c>
      <c r="G117" s="2">
        <v>7.7200000000000006</v>
      </c>
    </row>
    <row r="118" spans="1:7" hidden="1" x14ac:dyDescent="0.25">
      <c r="A118" t="s">
        <v>16</v>
      </c>
      <c r="B118" t="s">
        <v>17</v>
      </c>
      <c r="C118" s="2">
        <v>189.46</v>
      </c>
      <c r="D118" s="1">
        <v>1894.6000000000001</v>
      </c>
      <c r="E118" s="2" t="s">
        <v>139</v>
      </c>
      <c r="F118" s="2">
        <f t="shared" si="9"/>
        <v>19.135460000000002</v>
      </c>
      <c r="G118" s="2">
        <v>1.01</v>
      </c>
    </row>
    <row r="119" spans="1:7" hidden="1" x14ac:dyDescent="0.25">
      <c r="A119" t="s">
        <v>16</v>
      </c>
      <c r="B119" t="s">
        <v>17</v>
      </c>
      <c r="C119" s="2">
        <v>189.46</v>
      </c>
      <c r="D119" s="1">
        <v>1894.6000000000001</v>
      </c>
      <c r="E119" s="2" t="s">
        <v>140</v>
      </c>
      <c r="F119" s="2">
        <f t="shared" si="9"/>
        <v>17.998699999999999</v>
      </c>
      <c r="G119" s="2">
        <v>0.95</v>
      </c>
    </row>
    <row r="120" spans="1:7" hidden="1" x14ac:dyDescent="0.25">
      <c r="A120" t="s">
        <v>16</v>
      </c>
      <c r="B120" t="s">
        <v>17</v>
      </c>
      <c r="C120" s="2">
        <v>189.46</v>
      </c>
      <c r="D120" s="1">
        <v>1894.6000000000001</v>
      </c>
      <c r="E120" s="2" t="s">
        <v>120</v>
      </c>
      <c r="F120" s="2">
        <f t="shared" si="9"/>
        <v>12.504360000000002</v>
      </c>
      <c r="G120" s="2">
        <v>0.66</v>
      </c>
    </row>
    <row r="121" spans="1:7" hidden="1" x14ac:dyDescent="0.25">
      <c r="A121" t="s">
        <v>16</v>
      </c>
      <c r="B121" t="s">
        <v>17</v>
      </c>
      <c r="C121" s="2">
        <v>189.46</v>
      </c>
      <c r="D121" s="1">
        <v>1894.6000000000001</v>
      </c>
      <c r="E121" s="2" t="s">
        <v>142</v>
      </c>
      <c r="F121" s="2">
        <f t="shared" si="9"/>
        <v>3.5997400000000006</v>
      </c>
      <c r="G121" s="2">
        <v>0.19</v>
      </c>
    </row>
    <row r="122" spans="1:7" hidden="1" x14ac:dyDescent="0.25">
      <c r="A122" t="s">
        <v>16</v>
      </c>
      <c r="B122" t="s">
        <v>17</v>
      </c>
      <c r="C122" s="2">
        <v>189.46</v>
      </c>
      <c r="D122" s="1">
        <v>1894.6000000000001</v>
      </c>
      <c r="E122" t="s">
        <v>124</v>
      </c>
      <c r="F122" s="2">
        <f t="shared" si="9"/>
        <v>3.0313600000000003</v>
      </c>
      <c r="G122" s="2">
        <v>0.16</v>
      </c>
    </row>
    <row r="123" spans="1:7" hidden="1" x14ac:dyDescent="0.25">
      <c r="A123" t="s">
        <v>16</v>
      </c>
      <c r="B123" t="s">
        <v>17</v>
      </c>
      <c r="C123" s="2">
        <v>189.46</v>
      </c>
      <c r="D123" s="1">
        <v>1894.6000000000001</v>
      </c>
      <c r="E123" s="2" t="s">
        <v>141</v>
      </c>
      <c r="F123" s="2">
        <f t="shared" si="9"/>
        <v>1.32622</v>
      </c>
      <c r="G123" s="2">
        <v>6.9999999999999993E-2</v>
      </c>
    </row>
    <row r="124" spans="1:7" hidden="1" x14ac:dyDescent="0.25">
      <c r="A124" t="s">
        <v>16</v>
      </c>
      <c r="B124" t="s">
        <v>17</v>
      </c>
      <c r="C124" s="2">
        <v>189.46</v>
      </c>
      <c r="D124" s="1">
        <v>1894.6000000000001</v>
      </c>
      <c r="E124" s="5" t="s">
        <v>126</v>
      </c>
    </row>
    <row r="125" spans="1:7" hidden="1" x14ac:dyDescent="0.25">
      <c r="A125" t="s">
        <v>16</v>
      </c>
      <c r="B125" t="s">
        <v>17</v>
      </c>
      <c r="C125" s="2">
        <v>189.46</v>
      </c>
      <c r="D125" s="1">
        <v>1894.6000000000001</v>
      </c>
      <c r="E125" s="2" t="s">
        <v>133</v>
      </c>
      <c r="F125" s="2">
        <f t="shared" ref="F125:F135" si="10">(D125*G125)/100</f>
        <v>91.888100000000009</v>
      </c>
      <c r="G125" s="2">
        <v>4.8500000000000005</v>
      </c>
    </row>
    <row r="126" spans="1:7" hidden="1" x14ac:dyDescent="0.25">
      <c r="A126" t="s">
        <v>16</v>
      </c>
      <c r="B126" t="s">
        <v>17</v>
      </c>
      <c r="C126" s="2">
        <v>189.46</v>
      </c>
      <c r="D126" s="1">
        <v>1894.6000000000001</v>
      </c>
      <c r="E126" s="2" t="s">
        <v>143</v>
      </c>
      <c r="F126" s="2">
        <f t="shared" si="10"/>
        <v>78.436440000000005</v>
      </c>
      <c r="G126" s="2">
        <v>4.1399999999999997</v>
      </c>
    </row>
    <row r="127" spans="1:7" hidden="1" x14ac:dyDescent="0.25">
      <c r="A127" t="s">
        <v>16</v>
      </c>
      <c r="B127" t="s">
        <v>17</v>
      </c>
      <c r="C127" s="2">
        <v>189.46</v>
      </c>
      <c r="D127" s="1">
        <v>1894.6000000000001</v>
      </c>
      <c r="E127" s="2" t="s">
        <v>127</v>
      </c>
      <c r="F127" s="2">
        <f t="shared" si="10"/>
        <v>77.86806</v>
      </c>
      <c r="G127" s="2">
        <v>4.1099999999999994</v>
      </c>
    </row>
    <row r="128" spans="1:7" hidden="1" x14ac:dyDescent="0.25">
      <c r="A128" t="s">
        <v>16</v>
      </c>
      <c r="B128" t="s">
        <v>17</v>
      </c>
      <c r="C128" s="2">
        <v>189.46</v>
      </c>
      <c r="D128" s="1">
        <v>1894.6000000000001</v>
      </c>
      <c r="E128" s="2" t="s">
        <v>144</v>
      </c>
      <c r="F128" s="2">
        <f t="shared" si="10"/>
        <v>51.15420000000001</v>
      </c>
      <c r="G128" s="2">
        <v>2.7</v>
      </c>
    </row>
    <row r="129" spans="1:14" hidden="1" x14ac:dyDescent="0.25">
      <c r="A129" t="s">
        <v>16</v>
      </c>
      <c r="B129" t="s">
        <v>17</v>
      </c>
      <c r="C129" s="2">
        <v>189.46</v>
      </c>
      <c r="D129" s="1">
        <v>1894.6000000000001</v>
      </c>
      <c r="E129" s="2" t="s">
        <v>132</v>
      </c>
      <c r="F129" s="2">
        <f t="shared" si="10"/>
        <v>50.585820000000005</v>
      </c>
      <c r="G129" s="2">
        <v>2.67</v>
      </c>
    </row>
    <row r="130" spans="1:14" hidden="1" x14ac:dyDescent="0.25">
      <c r="A130" t="s">
        <v>16</v>
      </c>
      <c r="B130" t="s">
        <v>17</v>
      </c>
      <c r="C130" s="2">
        <v>189.46</v>
      </c>
      <c r="D130" s="1">
        <v>1894.6000000000001</v>
      </c>
      <c r="E130" s="2" t="s">
        <v>145</v>
      </c>
      <c r="F130" s="2">
        <f t="shared" si="10"/>
        <v>49.827979999999997</v>
      </c>
      <c r="G130" s="2">
        <v>2.63</v>
      </c>
    </row>
    <row r="131" spans="1:14" hidden="1" x14ac:dyDescent="0.25">
      <c r="A131" t="s">
        <v>16</v>
      </c>
      <c r="B131" t="s">
        <v>17</v>
      </c>
      <c r="C131" s="2">
        <v>189.46</v>
      </c>
      <c r="D131" s="1">
        <v>1894.6000000000001</v>
      </c>
      <c r="E131" s="2" t="s">
        <v>136</v>
      </c>
      <c r="F131" s="2">
        <f t="shared" si="10"/>
        <v>48.880680000000005</v>
      </c>
      <c r="G131" s="2">
        <v>2.58</v>
      </c>
    </row>
    <row r="132" spans="1:14" hidden="1" x14ac:dyDescent="0.25">
      <c r="A132" t="s">
        <v>16</v>
      </c>
      <c r="B132" t="s">
        <v>17</v>
      </c>
      <c r="C132" s="2">
        <v>189.46</v>
      </c>
      <c r="D132" s="1">
        <v>1894.6000000000001</v>
      </c>
      <c r="E132" t="s">
        <v>134</v>
      </c>
      <c r="F132" s="2">
        <f t="shared" si="10"/>
        <v>32.208200000000005</v>
      </c>
      <c r="G132" s="2">
        <v>1.7000000000000002</v>
      </c>
    </row>
    <row r="133" spans="1:14" hidden="1" x14ac:dyDescent="0.25">
      <c r="A133" t="s">
        <v>16</v>
      </c>
      <c r="B133" t="s">
        <v>17</v>
      </c>
      <c r="C133" s="2">
        <v>189.46</v>
      </c>
      <c r="D133" s="1">
        <v>1894.6000000000001</v>
      </c>
      <c r="E133" t="s">
        <v>146</v>
      </c>
      <c r="F133" s="2">
        <f t="shared" si="10"/>
        <v>28.797920000000005</v>
      </c>
      <c r="G133" s="2">
        <v>1.52</v>
      </c>
    </row>
    <row r="134" spans="1:14" hidden="1" x14ac:dyDescent="0.25">
      <c r="A134" t="s">
        <v>16</v>
      </c>
      <c r="B134" t="s">
        <v>17</v>
      </c>
      <c r="C134" s="2">
        <v>189.46</v>
      </c>
      <c r="D134" s="1">
        <v>1894.6000000000001</v>
      </c>
      <c r="E134" t="s">
        <v>147</v>
      </c>
      <c r="F134" s="2">
        <f t="shared" si="10"/>
        <v>20.461680000000005</v>
      </c>
      <c r="G134" s="2">
        <v>1.08</v>
      </c>
    </row>
    <row r="135" spans="1:14" hidden="1" x14ac:dyDescent="0.25">
      <c r="A135" t="s">
        <v>16</v>
      </c>
      <c r="B135" t="s">
        <v>17</v>
      </c>
      <c r="C135" s="2">
        <v>189.46</v>
      </c>
      <c r="D135" s="1">
        <v>1894.6000000000001</v>
      </c>
      <c r="E135" s="4" t="s">
        <v>96</v>
      </c>
      <c r="F135" s="2">
        <f t="shared" si="10"/>
        <v>63.848020000000005</v>
      </c>
      <c r="G135" s="2">
        <v>3.37</v>
      </c>
    </row>
    <row r="136" spans="1:14" x14ac:dyDescent="0.25">
      <c r="A136" t="str">
        <f>A135</f>
        <v>UL LIFE CONSERVATIVE FUND</v>
      </c>
      <c r="B136" t="s">
        <v>17</v>
      </c>
      <c r="C136" s="2">
        <v>189.46</v>
      </c>
      <c r="D136" s="1">
        <v>1894.6000000000001</v>
      </c>
      <c r="E136" s="4" t="s">
        <v>8</v>
      </c>
      <c r="F136" s="2">
        <f ca="1">SUMIF(A:A,M136,F:F)</f>
        <v>1749.6630999999998</v>
      </c>
      <c r="G136" s="2">
        <f ca="1">SUMIF(A:A,M136,G:G)</f>
        <v>92.34999999999998</v>
      </c>
      <c r="I136" s="2">
        <f ca="1">(D136*J136)/100</f>
        <v>144.93690000000038</v>
      </c>
      <c r="J136" s="2">
        <f ca="1">100-G136</f>
        <v>7.6500000000000199</v>
      </c>
      <c r="K136" s="2">
        <f>D136/1000</f>
        <v>1.8946000000000001</v>
      </c>
      <c r="M136" t="str">
        <f>A135</f>
        <v>UL LIFE CONSERVATIVE FUND</v>
      </c>
      <c r="N136" s="2"/>
    </row>
    <row r="137" spans="1:14" hidden="1" x14ac:dyDescent="0.25"/>
    <row r="138" spans="1:14" hidden="1" x14ac:dyDescent="0.25">
      <c r="A138" t="s">
        <v>18</v>
      </c>
      <c r="B138" t="s">
        <v>19</v>
      </c>
      <c r="C138" s="1">
        <v>1012.93</v>
      </c>
      <c r="D138" s="1">
        <v>10129.299999999999</v>
      </c>
      <c r="E138" s="4" t="s">
        <v>117</v>
      </c>
    </row>
    <row r="139" spans="1:14" hidden="1" x14ac:dyDescent="0.25">
      <c r="A139" t="s">
        <v>18</v>
      </c>
      <c r="B139" t="s">
        <v>19</v>
      </c>
      <c r="C139" s="1">
        <v>1012.93</v>
      </c>
      <c r="D139" s="1">
        <v>10129.299999999999</v>
      </c>
      <c r="E139" s="2" t="s">
        <v>156</v>
      </c>
      <c r="F139" s="2">
        <f t="shared" ref="F139:F148" si="11">(D139*G139)/100</f>
        <v>1199.3091199999999</v>
      </c>
      <c r="G139" s="2">
        <v>11.84</v>
      </c>
    </row>
    <row r="140" spans="1:14" hidden="1" x14ac:dyDescent="0.25">
      <c r="A140" t="s">
        <v>18</v>
      </c>
      <c r="B140" t="s">
        <v>19</v>
      </c>
      <c r="C140" s="1">
        <v>1012.93</v>
      </c>
      <c r="D140" s="1">
        <v>10129.299999999999</v>
      </c>
      <c r="E140" s="2" t="s">
        <v>118</v>
      </c>
      <c r="F140" s="2">
        <f t="shared" si="11"/>
        <v>890.36547000000007</v>
      </c>
      <c r="G140" s="2">
        <v>8.7900000000000009</v>
      </c>
    </row>
    <row r="141" spans="1:14" hidden="1" x14ac:dyDescent="0.25">
      <c r="A141" t="s">
        <v>18</v>
      </c>
      <c r="B141" t="s">
        <v>19</v>
      </c>
      <c r="C141" s="1">
        <v>1012.93</v>
      </c>
      <c r="D141" s="1">
        <v>10129.299999999999</v>
      </c>
      <c r="E141" s="2" t="s">
        <v>123</v>
      </c>
      <c r="F141" s="2">
        <f t="shared" si="11"/>
        <v>651.31398999999988</v>
      </c>
      <c r="G141" s="2">
        <v>6.43</v>
      </c>
    </row>
    <row r="142" spans="1:14" hidden="1" x14ac:dyDescent="0.25">
      <c r="A142" t="s">
        <v>18</v>
      </c>
      <c r="B142" t="s">
        <v>19</v>
      </c>
      <c r="C142" s="1">
        <v>1012.93</v>
      </c>
      <c r="D142" s="1">
        <v>10129.299999999999</v>
      </c>
      <c r="E142" s="2" t="s">
        <v>167</v>
      </c>
      <c r="F142" s="2">
        <f t="shared" si="11"/>
        <v>547.99513000000002</v>
      </c>
      <c r="G142" s="2">
        <v>5.41</v>
      </c>
    </row>
    <row r="143" spans="1:14" hidden="1" x14ac:dyDescent="0.25">
      <c r="A143" t="s">
        <v>18</v>
      </c>
      <c r="B143" t="s">
        <v>19</v>
      </c>
      <c r="C143" s="1">
        <v>1012.93</v>
      </c>
      <c r="D143" s="1">
        <v>10129.299999999999</v>
      </c>
      <c r="E143" s="2" t="s">
        <v>162</v>
      </c>
      <c r="F143" s="2">
        <f t="shared" si="11"/>
        <v>542.93047999999999</v>
      </c>
      <c r="G143" s="2">
        <v>5.36</v>
      </c>
    </row>
    <row r="144" spans="1:14" hidden="1" x14ac:dyDescent="0.25">
      <c r="A144" t="s">
        <v>18</v>
      </c>
      <c r="B144" t="s">
        <v>19</v>
      </c>
      <c r="C144" s="1">
        <v>1012.93</v>
      </c>
      <c r="D144" s="1">
        <v>10129.299999999999</v>
      </c>
      <c r="E144" s="2" t="s">
        <v>168</v>
      </c>
      <c r="F144" s="2">
        <f t="shared" si="11"/>
        <v>353.51256999999998</v>
      </c>
      <c r="G144" s="2">
        <v>3.49</v>
      </c>
    </row>
    <row r="145" spans="1:14" hidden="1" x14ac:dyDescent="0.25">
      <c r="A145" t="s">
        <v>18</v>
      </c>
      <c r="B145" t="s">
        <v>19</v>
      </c>
      <c r="C145" s="1">
        <v>1012.93</v>
      </c>
      <c r="D145" s="1">
        <v>10129.299999999999</v>
      </c>
      <c r="E145" s="2" t="s">
        <v>125</v>
      </c>
      <c r="F145" s="2">
        <f t="shared" si="11"/>
        <v>347.43498999999997</v>
      </c>
      <c r="G145" s="2">
        <v>3.4299999999999997</v>
      </c>
    </row>
    <row r="146" spans="1:14" hidden="1" x14ac:dyDescent="0.25">
      <c r="A146" t="s">
        <v>18</v>
      </c>
      <c r="B146" t="s">
        <v>19</v>
      </c>
      <c r="C146" s="1">
        <v>1012.93</v>
      </c>
      <c r="D146" s="1">
        <v>10129.299999999999</v>
      </c>
      <c r="E146" s="2" t="s">
        <v>169</v>
      </c>
      <c r="F146" s="2">
        <f t="shared" si="11"/>
        <v>231.96096999999997</v>
      </c>
      <c r="G146" s="2">
        <v>2.29</v>
      </c>
    </row>
    <row r="147" spans="1:14" hidden="1" x14ac:dyDescent="0.25">
      <c r="A147" t="s">
        <v>18</v>
      </c>
      <c r="B147" t="s">
        <v>19</v>
      </c>
      <c r="C147" s="1">
        <v>1012.93</v>
      </c>
      <c r="D147" s="1">
        <v>10129.299999999999</v>
      </c>
      <c r="E147" s="2" t="s">
        <v>121</v>
      </c>
      <c r="F147" s="2">
        <f t="shared" si="11"/>
        <v>224.87046000000001</v>
      </c>
      <c r="G147" s="2">
        <v>2.2200000000000002</v>
      </c>
    </row>
    <row r="148" spans="1:14" hidden="1" x14ac:dyDescent="0.25">
      <c r="A148" t="s">
        <v>18</v>
      </c>
      <c r="B148" t="s">
        <v>19</v>
      </c>
      <c r="C148" s="1">
        <v>1012.93</v>
      </c>
      <c r="D148" s="1">
        <v>10129.299999999999</v>
      </c>
      <c r="E148" s="2" t="s">
        <v>120</v>
      </c>
      <c r="F148" s="2">
        <f t="shared" si="11"/>
        <v>101.29299999999999</v>
      </c>
      <c r="G148" s="2">
        <v>1</v>
      </c>
    </row>
    <row r="149" spans="1:14" hidden="1" x14ac:dyDescent="0.25">
      <c r="A149" t="s">
        <v>18</v>
      </c>
      <c r="B149" t="s">
        <v>19</v>
      </c>
      <c r="C149" s="1">
        <v>1012.93</v>
      </c>
      <c r="D149" s="1">
        <v>10129.299999999999</v>
      </c>
      <c r="E149" s="5" t="s">
        <v>126</v>
      </c>
    </row>
    <row r="150" spans="1:14" hidden="1" x14ac:dyDescent="0.25">
      <c r="A150" t="s">
        <v>18</v>
      </c>
      <c r="B150" t="s">
        <v>19</v>
      </c>
      <c r="C150" s="1">
        <v>1012.93</v>
      </c>
      <c r="D150" s="1">
        <v>10129.299999999999</v>
      </c>
      <c r="E150" s="2" t="s">
        <v>170</v>
      </c>
      <c r="F150" s="2">
        <f t="shared" ref="F150:F160" si="12">(D150*G150)/100</f>
        <v>771.8526599999999</v>
      </c>
      <c r="G150" s="2">
        <v>7.62</v>
      </c>
    </row>
    <row r="151" spans="1:14" hidden="1" x14ac:dyDescent="0.25">
      <c r="A151" t="s">
        <v>18</v>
      </c>
      <c r="B151" t="s">
        <v>19</v>
      </c>
      <c r="C151" s="1">
        <v>1012.93</v>
      </c>
      <c r="D151" s="1">
        <v>10129.299999999999</v>
      </c>
      <c r="E151" s="2" t="s">
        <v>136</v>
      </c>
      <c r="F151" s="2">
        <f t="shared" si="12"/>
        <v>732.34838999999988</v>
      </c>
      <c r="G151" s="2">
        <v>7.23</v>
      </c>
    </row>
    <row r="152" spans="1:14" hidden="1" x14ac:dyDescent="0.25">
      <c r="A152" t="s">
        <v>18</v>
      </c>
      <c r="B152" t="s">
        <v>19</v>
      </c>
      <c r="C152" s="1">
        <v>1012.93</v>
      </c>
      <c r="D152" s="1">
        <v>10129.299999999999</v>
      </c>
      <c r="E152" s="2" t="s">
        <v>145</v>
      </c>
      <c r="F152" s="2">
        <f t="shared" si="12"/>
        <v>377.82288999999997</v>
      </c>
      <c r="G152" s="2">
        <v>3.73</v>
      </c>
    </row>
    <row r="153" spans="1:14" hidden="1" x14ac:dyDescent="0.25">
      <c r="A153" t="s">
        <v>18</v>
      </c>
      <c r="B153" t="s">
        <v>19</v>
      </c>
      <c r="C153" s="1">
        <v>1012.93</v>
      </c>
      <c r="D153" s="1">
        <v>10129.299999999999</v>
      </c>
      <c r="E153" s="2" t="s">
        <v>129</v>
      </c>
      <c r="F153" s="2">
        <f t="shared" si="12"/>
        <v>361.61601000000002</v>
      </c>
      <c r="G153" s="2">
        <v>3.5700000000000003</v>
      </c>
    </row>
    <row r="154" spans="1:14" hidden="1" x14ac:dyDescent="0.25">
      <c r="A154" t="s">
        <v>18</v>
      </c>
      <c r="B154" t="s">
        <v>19</v>
      </c>
      <c r="C154" s="1">
        <v>1012.93</v>
      </c>
      <c r="D154" s="1">
        <v>10129.299999999999</v>
      </c>
      <c r="E154" s="2" t="s">
        <v>127</v>
      </c>
      <c r="F154" s="2">
        <f t="shared" si="12"/>
        <v>343.38326999999998</v>
      </c>
      <c r="G154" s="2">
        <v>3.39</v>
      </c>
    </row>
    <row r="155" spans="1:14" hidden="1" x14ac:dyDescent="0.25">
      <c r="A155" t="s">
        <v>18</v>
      </c>
      <c r="B155" t="s">
        <v>19</v>
      </c>
      <c r="C155" s="1">
        <v>1012.93</v>
      </c>
      <c r="D155" s="1">
        <v>10129.299999999999</v>
      </c>
      <c r="E155" s="2" t="s">
        <v>171</v>
      </c>
      <c r="F155" s="2">
        <f t="shared" si="12"/>
        <v>254.24543000000003</v>
      </c>
      <c r="G155" s="2">
        <v>2.5100000000000002</v>
      </c>
    </row>
    <row r="156" spans="1:14" hidden="1" x14ac:dyDescent="0.25">
      <c r="A156" t="s">
        <v>18</v>
      </c>
      <c r="B156" t="s">
        <v>19</v>
      </c>
      <c r="C156" s="1">
        <v>1012.93</v>
      </c>
      <c r="D156" s="1">
        <v>10129.299999999999</v>
      </c>
      <c r="E156" s="2" t="s">
        <v>172</v>
      </c>
      <c r="F156" s="2">
        <f t="shared" si="12"/>
        <v>251.20663999999996</v>
      </c>
      <c r="G156" s="2">
        <v>2.48</v>
      </c>
    </row>
    <row r="157" spans="1:14" hidden="1" x14ac:dyDescent="0.25">
      <c r="A157" t="s">
        <v>18</v>
      </c>
      <c r="B157" t="s">
        <v>19</v>
      </c>
      <c r="C157" s="1">
        <v>1012.93</v>
      </c>
      <c r="D157" s="1">
        <v>10129.299999999999</v>
      </c>
      <c r="E157" s="2" t="s">
        <v>133</v>
      </c>
      <c r="F157" s="2">
        <f t="shared" si="12"/>
        <v>245.12905999999998</v>
      </c>
      <c r="G157" s="2">
        <v>2.42</v>
      </c>
    </row>
    <row r="158" spans="1:14" hidden="1" x14ac:dyDescent="0.25">
      <c r="A158" t="s">
        <v>18</v>
      </c>
      <c r="B158" t="s">
        <v>19</v>
      </c>
      <c r="C158" s="1">
        <v>1012.93</v>
      </c>
      <c r="D158" s="1">
        <v>10129.299999999999</v>
      </c>
      <c r="E158" s="2" t="s">
        <v>165</v>
      </c>
      <c r="F158" s="2">
        <f t="shared" si="12"/>
        <v>162.06879999999998</v>
      </c>
      <c r="G158" s="2">
        <v>1.6</v>
      </c>
    </row>
    <row r="159" spans="1:14" hidden="1" x14ac:dyDescent="0.25">
      <c r="A159" t="s">
        <v>18</v>
      </c>
      <c r="B159" t="s">
        <v>19</v>
      </c>
      <c r="C159" s="1">
        <v>1012.93</v>
      </c>
      <c r="D159" s="1">
        <v>10129.299999999999</v>
      </c>
      <c r="E159" s="2" t="s">
        <v>173</v>
      </c>
      <c r="F159" s="2">
        <f t="shared" si="12"/>
        <v>113.44815999999999</v>
      </c>
      <c r="G159" s="2">
        <v>1.1199999999999999</v>
      </c>
    </row>
    <row r="160" spans="1:14" hidden="1" x14ac:dyDescent="0.25">
      <c r="A160" t="s">
        <v>18</v>
      </c>
      <c r="B160" t="s">
        <v>19</v>
      </c>
      <c r="C160" s="1">
        <v>1012.93</v>
      </c>
      <c r="D160" s="1">
        <v>10129.299999999999</v>
      </c>
      <c r="E160" s="4" t="s">
        <v>96</v>
      </c>
      <c r="F160" s="2">
        <f t="shared" si="12"/>
        <v>501.40034999999995</v>
      </c>
      <c r="G160" s="2">
        <v>4.95</v>
      </c>
      <c r="N160" s="2"/>
    </row>
    <row r="161" spans="1:14" x14ac:dyDescent="0.25">
      <c r="A161" t="str">
        <f>A160</f>
        <v>UL LIFE SECURED FUND</v>
      </c>
      <c r="B161" t="s">
        <v>19</v>
      </c>
      <c r="C161" s="1">
        <v>1012.93</v>
      </c>
      <c r="D161" s="1">
        <v>10129.299999999999</v>
      </c>
      <c r="E161" s="4" t="s">
        <v>8</v>
      </c>
      <c r="F161" s="2">
        <f ca="1">SUMIF(A:A,M161,F:F)</f>
        <v>9205.5078399999984</v>
      </c>
      <c r="G161" s="2">
        <f ca="1">SUMIF(A:A,M161,G:G)</f>
        <v>90.88000000000001</v>
      </c>
      <c r="I161" s="2">
        <f ca="1">(D161*J161)/100</f>
        <v>923.79215999999894</v>
      </c>
      <c r="J161" s="2">
        <f ca="1">100-G161</f>
        <v>9.1199999999999903</v>
      </c>
      <c r="K161" s="2">
        <f>D161/1000</f>
        <v>10.129299999999999</v>
      </c>
      <c r="M161" t="str">
        <f>A160</f>
        <v>UL LIFE SECURED FUND</v>
      </c>
      <c r="N161" s="2"/>
    </row>
    <row r="162" spans="1:14" hidden="1" x14ac:dyDescent="0.25">
      <c r="C162" s="2"/>
    </row>
    <row r="163" spans="1:14" hidden="1" x14ac:dyDescent="0.25">
      <c r="A163" t="s">
        <v>20</v>
      </c>
      <c r="B163" t="s">
        <v>21</v>
      </c>
      <c r="C163" s="2">
        <v>339.41</v>
      </c>
      <c r="D163" s="1">
        <v>3394.1000000000004</v>
      </c>
      <c r="E163" s="4" t="s">
        <v>93</v>
      </c>
    </row>
    <row r="164" spans="1:14" hidden="1" x14ac:dyDescent="0.25">
      <c r="A164" t="s">
        <v>20</v>
      </c>
      <c r="B164" t="s">
        <v>21</v>
      </c>
      <c r="C164" s="2">
        <v>339.41</v>
      </c>
      <c r="D164" s="1">
        <v>3394.1000000000004</v>
      </c>
      <c r="E164" t="s">
        <v>4</v>
      </c>
      <c r="F164" s="2">
        <f t="shared" ref="F164:F173" si="13">(D164*G164)/100</f>
        <v>218.24063000000001</v>
      </c>
      <c r="G164" s="2">
        <v>6.43</v>
      </c>
    </row>
    <row r="165" spans="1:14" hidden="1" x14ac:dyDescent="0.25">
      <c r="A165" t="s">
        <v>20</v>
      </c>
      <c r="B165" t="s">
        <v>21</v>
      </c>
      <c r="C165" s="2">
        <v>339.41</v>
      </c>
      <c r="D165" s="1">
        <v>3394.1000000000004</v>
      </c>
      <c r="E165" t="s">
        <v>2</v>
      </c>
      <c r="F165" s="2">
        <f t="shared" si="13"/>
        <v>150.35863000000001</v>
      </c>
      <c r="G165" s="2">
        <v>4.43</v>
      </c>
    </row>
    <row r="166" spans="1:14" hidden="1" x14ac:dyDescent="0.25">
      <c r="A166" t="s">
        <v>20</v>
      </c>
      <c r="B166" t="s">
        <v>21</v>
      </c>
      <c r="C166" s="2">
        <v>339.41</v>
      </c>
      <c r="D166" s="1">
        <v>3394.1000000000004</v>
      </c>
      <c r="E166" t="s">
        <v>3</v>
      </c>
      <c r="F166" s="2">
        <f t="shared" si="13"/>
        <v>113.02353000000002</v>
      </c>
      <c r="G166" s="2">
        <v>3.3300000000000005</v>
      </c>
    </row>
    <row r="167" spans="1:14" hidden="1" x14ac:dyDescent="0.25">
      <c r="A167" t="s">
        <v>20</v>
      </c>
      <c r="B167" t="s">
        <v>21</v>
      </c>
      <c r="C167" s="2">
        <v>339.41</v>
      </c>
      <c r="D167" s="1">
        <v>3394.1000000000004</v>
      </c>
      <c r="E167" t="s">
        <v>148</v>
      </c>
      <c r="F167" s="2">
        <f t="shared" si="13"/>
        <v>104.87769</v>
      </c>
      <c r="G167" s="2">
        <v>3.09</v>
      </c>
    </row>
    <row r="168" spans="1:14" hidden="1" x14ac:dyDescent="0.25">
      <c r="A168" t="s">
        <v>20</v>
      </c>
      <c r="B168" t="s">
        <v>21</v>
      </c>
      <c r="C168" s="2">
        <v>339.41</v>
      </c>
      <c r="D168" s="1">
        <v>3394.1000000000004</v>
      </c>
      <c r="E168" t="s">
        <v>87</v>
      </c>
      <c r="F168" s="2">
        <f t="shared" si="13"/>
        <v>91.301290000000009</v>
      </c>
      <c r="G168" s="2">
        <v>2.69</v>
      </c>
    </row>
    <row r="169" spans="1:14" hidden="1" x14ac:dyDescent="0.25">
      <c r="A169" t="s">
        <v>20</v>
      </c>
      <c r="B169" t="s">
        <v>21</v>
      </c>
      <c r="C169" s="2">
        <v>339.41</v>
      </c>
      <c r="D169" s="1">
        <v>3394.1000000000004</v>
      </c>
      <c r="E169" t="s">
        <v>7</v>
      </c>
      <c r="F169" s="2">
        <f t="shared" si="13"/>
        <v>77.724890000000016</v>
      </c>
      <c r="G169" s="2">
        <v>2.29</v>
      </c>
    </row>
    <row r="170" spans="1:14" hidden="1" x14ac:dyDescent="0.25">
      <c r="A170" t="s">
        <v>20</v>
      </c>
      <c r="B170" t="s">
        <v>21</v>
      </c>
      <c r="C170" s="2">
        <v>339.41</v>
      </c>
      <c r="D170" s="1">
        <v>3394.1000000000004</v>
      </c>
      <c r="E170" t="s">
        <v>138</v>
      </c>
      <c r="F170" s="2">
        <f t="shared" si="13"/>
        <v>72.973150000000004</v>
      </c>
      <c r="G170" s="2">
        <v>2.15</v>
      </c>
    </row>
    <row r="171" spans="1:14" hidden="1" x14ac:dyDescent="0.25">
      <c r="A171" t="s">
        <v>20</v>
      </c>
      <c r="B171" t="s">
        <v>21</v>
      </c>
      <c r="C171" s="2">
        <v>339.41</v>
      </c>
      <c r="D171" s="1">
        <v>3394.1000000000004</v>
      </c>
      <c r="E171" t="s">
        <v>174</v>
      </c>
      <c r="F171" s="2">
        <f t="shared" si="13"/>
        <v>67.203180000000017</v>
      </c>
      <c r="G171" s="2">
        <v>1.9800000000000002</v>
      </c>
    </row>
    <row r="172" spans="1:14" hidden="1" x14ac:dyDescent="0.25">
      <c r="A172" t="s">
        <v>20</v>
      </c>
      <c r="B172" t="s">
        <v>21</v>
      </c>
      <c r="C172" s="2">
        <v>339.41</v>
      </c>
      <c r="D172" s="1">
        <v>3394.1000000000004</v>
      </c>
      <c r="E172" t="s">
        <v>97</v>
      </c>
      <c r="F172" s="2">
        <f t="shared" si="13"/>
        <v>56.00265000000001</v>
      </c>
      <c r="G172" s="2">
        <v>1.6500000000000001</v>
      </c>
    </row>
    <row r="173" spans="1:14" hidden="1" x14ac:dyDescent="0.25">
      <c r="A173" t="s">
        <v>20</v>
      </c>
      <c r="B173" t="s">
        <v>21</v>
      </c>
      <c r="C173" s="2">
        <v>339.41</v>
      </c>
      <c r="D173" s="1">
        <v>3394.1000000000004</v>
      </c>
      <c r="E173" t="s">
        <v>175</v>
      </c>
      <c r="F173" s="2">
        <f t="shared" si="13"/>
        <v>52.947960000000002</v>
      </c>
      <c r="G173" s="2">
        <v>1.5599999999999998</v>
      </c>
    </row>
    <row r="174" spans="1:14" hidden="1" x14ac:dyDescent="0.25">
      <c r="A174" t="s">
        <v>20</v>
      </c>
      <c r="B174" t="s">
        <v>21</v>
      </c>
      <c r="C174" s="2">
        <v>339.41</v>
      </c>
      <c r="D174" s="1">
        <v>3394.1000000000004</v>
      </c>
      <c r="E174" s="4" t="s">
        <v>117</v>
      </c>
    </row>
    <row r="175" spans="1:14" hidden="1" x14ac:dyDescent="0.25">
      <c r="A175" t="s">
        <v>20</v>
      </c>
      <c r="B175" t="s">
        <v>21</v>
      </c>
      <c r="C175" s="2">
        <v>339.41</v>
      </c>
      <c r="D175" s="1">
        <v>3394.1000000000004</v>
      </c>
      <c r="E175" s="2" t="s">
        <v>156</v>
      </c>
      <c r="F175" s="2">
        <f t="shared" ref="F175:F184" si="14">(D175*G175)/100</f>
        <v>288.83791000000002</v>
      </c>
      <c r="G175" s="2">
        <v>8.51</v>
      </c>
    </row>
    <row r="176" spans="1:14" hidden="1" x14ac:dyDescent="0.25">
      <c r="A176" t="s">
        <v>20</v>
      </c>
      <c r="B176" t="s">
        <v>21</v>
      </c>
      <c r="C176" s="2">
        <v>339.41</v>
      </c>
      <c r="D176" s="1">
        <v>3394.1000000000004</v>
      </c>
      <c r="E176" s="2" t="s">
        <v>123</v>
      </c>
      <c r="F176" s="2">
        <f t="shared" si="14"/>
        <v>269.49154000000004</v>
      </c>
      <c r="G176" s="2">
        <v>7.9399999999999995</v>
      </c>
    </row>
    <row r="177" spans="1:7" hidden="1" x14ac:dyDescent="0.25">
      <c r="A177" t="s">
        <v>20</v>
      </c>
      <c r="B177" t="s">
        <v>21</v>
      </c>
      <c r="C177" s="2">
        <v>339.41</v>
      </c>
      <c r="D177" s="1">
        <v>3394.1000000000004</v>
      </c>
      <c r="E177" s="2" t="s">
        <v>120</v>
      </c>
      <c r="F177" s="2">
        <f t="shared" si="14"/>
        <v>104.19887000000003</v>
      </c>
      <c r="G177" s="2">
        <v>3.0700000000000003</v>
      </c>
    </row>
    <row r="178" spans="1:7" hidden="1" x14ac:dyDescent="0.25">
      <c r="A178" t="s">
        <v>20</v>
      </c>
      <c r="B178" t="s">
        <v>21</v>
      </c>
      <c r="C178" s="2">
        <v>339.41</v>
      </c>
      <c r="D178" s="1">
        <v>3394.1000000000004</v>
      </c>
      <c r="E178" s="2" t="s">
        <v>168</v>
      </c>
      <c r="F178" s="2">
        <f t="shared" si="14"/>
        <v>100.80477000000002</v>
      </c>
      <c r="G178" s="2">
        <v>2.97</v>
      </c>
    </row>
    <row r="179" spans="1:7" hidden="1" x14ac:dyDescent="0.25">
      <c r="A179" t="s">
        <v>20</v>
      </c>
      <c r="B179" t="s">
        <v>21</v>
      </c>
      <c r="C179" s="2">
        <v>339.41</v>
      </c>
      <c r="D179" s="1">
        <v>3394.1000000000004</v>
      </c>
      <c r="E179" s="2" t="s">
        <v>118</v>
      </c>
      <c r="F179" s="2">
        <f t="shared" si="14"/>
        <v>83.494860000000003</v>
      </c>
      <c r="G179" s="2">
        <v>2.46</v>
      </c>
    </row>
    <row r="180" spans="1:7" hidden="1" x14ac:dyDescent="0.25">
      <c r="A180" t="s">
        <v>20</v>
      </c>
      <c r="B180" t="s">
        <v>21</v>
      </c>
      <c r="C180" s="2">
        <v>339.41</v>
      </c>
      <c r="D180" s="1">
        <v>3394.1000000000004</v>
      </c>
      <c r="E180" s="2" t="s">
        <v>124</v>
      </c>
      <c r="F180" s="2">
        <f t="shared" si="14"/>
        <v>77.724890000000016</v>
      </c>
      <c r="G180" s="2">
        <v>2.29</v>
      </c>
    </row>
    <row r="181" spans="1:7" hidden="1" x14ac:dyDescent="0.25">
      <c r="A181" t="s">
        <v>20</v>
      </c>
      <c r="B181" t="s">
        <v>21</v>
      </c>
      <c r="C181" s="2">
        <v>339.41</v>
      </c>
      <c r="D181" s="1">
        <v>3394.1000000000004</v>
      </c>
      <c r="E181" s="2" t="s">
        <v>160</v>
      </c>
      <c r="F181" s="2">
        <f t="shared" si="14"/>
        <v>50.57209000000001</v>
      </c>
      <c r="G181" s="2">
        <v>1.49</v>
      </c>
    </row>
    <row r="182" spans="1:7" hidden="1" x14ac:dyDescent="0.25">
      <c r="A182" t="s">
        <v>20</v>
      </c>
      <c r="B182" t="s">
        <v>21</v>
      </c>
      <c r="C182" s="2">
        <v>339.41</v>
      </c>
      <c r="D182" s="1">
        <v>3394.1000000000004</v>
      </c>
      <c r="E182" s="2" t="s">
        <v>176</v>
      </c>
      <c r="F182" s="2">
        <f t="shared" si="14"/>
        <v>47.517400000000009</v>
      </c>
      <c r="G182" s="2">
        <v>1.4000000000000001</v>
      </c>
    </row>
    <row r="183" spans="1:7" hidden="1" x14ac:dyDescent="0.25">
      <c r="A183" t="s">
        <v>20</v>
      </c>
      <c r="B183" t="s">
        <v>21</v>
      </c>
      <c r="C183" s="2">
        <v>339.41</v>
      </c>
      <c r="D183" s="1">
        <v>3394.1000000000004</v>
      </c>
      <c r="E183" s="2" t="s">
        <v>177</v>
      </c>
      <c r="F183" s="2">
        <f t="shared" si="14"/>
        <v>16.970500000000001</v>
      </c>
      <c r="G183" s="2">
        <v>0.5</v>
      </c>
    </row>
    <row r="184" spans="1:7" hidden="1" x14ac:dyDescent="0.25">
      <c r="A184" t="s">
        <v>20</v>
      </c>
      <c r="B184" t="s">
        <v>21</v>
      </c>
      <c r="C184" s="2">
        <v>339.41</v>
      </c>
      <c r="D184" s="1">
        <v>3394.1000000000004</v>
      </c>
      <c r="E184" s="2" t="s">
        <v>139</v>
      </c>
      <c r="F184" s="2">
        <f t="shared" si="14"/>
        <v>13.23699</v>
      </c>
      <c r="G184" s="2">
        <v>0.38999999999999996</v>
      </c>
    </row>
    <row r="185" spans="1:7" hidden="1" x14ac:dyDescent="0.25">
      <c r="A185" t="s">
        <v>20</v>
      </c>
      <c r="B185" t="s">
        <v>21</v>
      </c>
      <c r="C185" s="2">
        <v>339.41</v>
      </c>
      <c r="D185" s="1">
        <v>3394.1000000000004</v>
      </c>
      <c r="E185" s="4" t="s">
        <v>126</v>
      </c>
    </row>
    <row r="186" spans="1:7" hidden="1" x14ac:dyDescent="0.25">
      <c r="A186" t="s">
        <v>20</v>
      </c>
      <c r="B186" t="s">
        <v>21</v>
      </c>
      <c r="C186" s="2">
        <v>339.41</v>
      </c>
      <c r="D186" s="1">
        <v>3394.1000000000004</v>
      </c>
      <c r="E186" s="2" t="s">
        <v>165</v>
      </c>
      <c r="F186" s="2">
        <f t="shared" ref="F186:F196" si="15">(D186*G186)/100</f>
        <v>63.809080000000016</v>
      </c>
      <c r="G186" s="2">
        <v>1.8800000000000001</v>
      </c>
    </row>
    <row r="187" spans="1:7" hidden="1" x14ac:dyDescent="0.25">
      <c r="A187" t="s">
        <v>20</v>
      </c>
      <c r="B187" t="s">
        <v>21</v>
      </c>
      <c r="C187" s="2">
        <v>339.41</v>
      </c>
      <c r="D187" s="1">
        <v>3394.1000000000004</v>
      </c>
      <c r="E187" s="2" t="s">
        <v>136</v>
      </c>
      <c r="F187" s="2">
        <f t="shared" si="15"/>
        <v>63.469670000000015</v>
      </c>
      <c r="G187" s="2">
        <v>1.87</v>
      </c>
    </row>
    <row r="188" spans="1:7" hidden="1" x14ac:dyDescent="0.25">
      <c r="A188" t="s">
        <v>20</v>
      </c>
      <c r="B188" t="s">
        <v>21</v>
      </c>
      <c r="C188" s="2">
        <v>339.41</v>
      </c>
      <c r="D188" s="1">
        <v>3394.1000000000004</v>
      </c>
      <c r="E188" s="2" t="s">
        <v>132</v>
      </c>
      <c r="F188" s="2">
        <f t="shared" si="15"/>
        <v>50.57209000000001</v>
      </c>
      <c r="G188" s="2">
        <v>1.49</v>
      </c>
    </row>
    <row r="189" spans="1:7" hidden="1" x14ac:dyDescent="0.25">
      <c r="A189" t="s">
        <v>20</v>
      </c>
      <c r="B189" t="s">
        <v>21</v>
      </c>
      <c r="C189" s="2">
        <v>339.41</v>
      </c>
      <c r="D189" s="1">
        <v>3394.1000000000004</v>
      </c>
      <c r="E189" s="2" t="s">
        <v>145</v>
      </c>
      <c r="F189" s="2">
        <f t="shared" si="15"/>
        <v>49.893270000000001</v>
      </c>
      <c r="G189" s="2">
        <v>1.47</v>
      </c>
    </row>
    <row r="190" spans="1:7" hidden="1" x14ac:dyDescent="0.25">
      <c r="A190" t="s">
        <v>20</v>
      </c>
      <c r="B190" t="s">
        <v>21</v>
      </c>
      <c r="C190" s="2">
        <v>339.41</v>
      </c>
      <c r="D190" s="1">
        <v>3394.1000000000004</v>
      </c>
      <c r="E190" s="2" t="s">
        <v>134</v>
      </c>
      <c r="F190" s="2">
        <f t="shared" si="15"/>
        <v>48.535629999999998</v>
      </c>
      <c r="G190" s="2">
        <v>1.43</v>
      </c>
    </row>
    <row r="191" spans="1:7" hidden="1" x14ac:dyDescent="0.25">
      <c r="A191" t="s">
        <v>20</v>
      </c>
      <c r="B191" t="s">
        <v>21</v>
      </c>
      <c r="C191" s="2">
        <v>339.41</v>
      </c>
      <c r="D191" s="1">
        <v>3394.1000000000004</v>
      </c>
      <c r="E191" s="2" t="s">
        <v>129</v>
      </c>
      <c r="F191" s="2">
        <f t="shared" si="15"/>
        <v>40.050379999999997</v>
      </c>
      <c r="G191" s="2">
        <v>1.18</v>
      </c>
    </row>
    <row r="192" spans="1:7" hidden="1" x14ac:dyDescent="0.25">
      <c r="A192" t="s">
        <v>20</v>
      </c>
      <c r="B192" t="s">
        <v>21</v>
      </c>
      <c r="C192" s="2">
        <v>339.41</v>
      </c>
      <c r="D192" s="1">
        <v>3394.1000000000004</v>
      </c>
      <c r="E192" s="2" t="s">
        <v>133</v>
      </c>
      <c r="F192" s="2">
        <f t="shared" si="15"/>
        <v>37.335099999999997</v>
      </c>
      <c r="G192" s="2">
        <v>1.0999999999999999</v>
      </c>
    </row>
    <row r="193" spans="1:14" hidden="1" x14ac:dyDescent="0.25">
      <c r="A193" t="s">
        <v>20</v>
      </c>
      <c r="B193" t="s">
        <v>21</v>
      </c>
      <c r="C193" s="2">
        <v>339.41</v>
      </c>
      <c r="D193" s="1">
        <v>3394.1000000000004</v>
      </c>
      <c r="E193" s="2" t="s">
        <v>178</v>
      </c>
      <c r="F193" s="2">
        <f t="shared" si="15"/>
        <v>30.546900000000001</v>
      </c>
      <c r="G193" s="2">
        <v>0.89999999999999991</v>
      </c>
    </row>
    <row r="194" spans="1:14" hidden="1" x14ac:dyDescent="0.25">
      <c r="A194" t="s">
        <v>20</v>
      </c>
      <c r="B194" t="s">
        <v>21</v>
      </c>
      <c r="C194" s="2">
        <v>339.41</v>
      </c>
      <c r="D194" s="1">
        <v>3394.1000000000004</v>
      </c>
      <c r="E194" s="2" t="s">
        <v>179</v>
      </c>
      <c r="F194" s="2">
        <f t="shared" si="15"/>
        <v>29.868080000000006</v>
      </c>
      <c r="G194" s="2">
        <v>0.88</v>
      </c>
    </row>
    <row r="195" spans="1:14" hidden="1" x14ac:dyDescent="0.25">
      <c r="A195" t="s">
        <v>20</v>
      </c>
      <c r="B195" t="s">
        <v>21</v>
      </c>
      <c r="C195" s="2">
        <v>339.41</v>
      </c>
      <c r="D195" s="1">
        <v>3394.1000000000004</v>
      </c>
      <c r="E195" s="2" t="s">
        <v>127</v>
      </c>
      <c r="F195" s="2">
        <f t="shared" si="15"/>
        <v>26.813390000000005</v>
      </c>
      <c r="G195" s="2">
        <v>0.79</v>
      </c>
    </row>
    <row r="196" spans="1:14" hidden="1" x14ac:dyDescent="0.25">
      <c r="A196" t="s">
        <v>20</v>
      </c>
      <c r="B196" t="s">
        <v>21</v>
      </c>
      <c r="C196" s="2">
        <v>339.41</v>
      </c>
      <c r="D196" s="1">
        <v>3394.1000000000004</v>
      </c>
      <c r="E196" s="4" t="s">
        <v>96</v>
      </c>
      <c r="F196" s="2">
        <f t="shared" si="15"/>
        <v>84.173680000000004</v>
      </c>
      <c r="G196" s="2">
        <v>2.48</v>
      </c>
      <c r="N196" s="2"/>
    </row>
    <row r="197" spans="1:14" x14ac:dyDescent="0.25">
      <c r="A197" t="str">
        <f>A196</f>
        <v>DYNAMIC OPPORTUINITIES FUND</v>
      </c>
      <c r="B197" t="s">
        <v>21</v>
      </c>
      <c r="C197" s="2">
        <v>339.41</v>
      </c>
      <c r="D197" s="1">
        <v>3394.1000000000004</v>
      </c>
      <c r="E197" s="4" t="s">
        <v>8</v>
      </c>
      <c r="F197" s="2">
        <f ca="1">SUMIF(A:A,M197,F:F)</f>
        <v>2582.5706899999996</v>
      </c>
      <c r="G197" s="2">
        <f ca="1">SUMIF(A:A,M197,G:G)</f>
        <v>76.090000000000018</v>
      </c>
      <c r="I197" s="2">
        <f ca="1">(D197*J197)/100</f>
        <v>811.52930999999955</v>
      </c>
      <c r="J197" s="2">
        <f ca="1">100-G197</f>
        <v>23.909999999999982</v>
      </c>
      <c r="K197" s="2">
        <f>D197/1000</f>
        <v>3.3941000000000003</v>
      </c>
      <c r="M197" t="str">
        <f>A196</f>
        <v>DYNAMIC OPPORTUINITIES FUND</v>
      </c>
      <c r="N197" s="2"/>
    </row>
    <row r="198" spans="1:14" hidden="1" x14ac:dyDescent="0.25">
      <c r="C198" s="2"/>
    </row>
    <row r="199" spans="1:14" hidden="1" x14ac:dyDescent="0.25">
      <c r="A199" t="s">
        <v>22</v>
      </c>
      <c r="B199" t="s">
        <v>23</v>
      </c>
      <c r="C199" s="2">
        <v>5.62</v>
      </c>
      <c r="D199" s="1">
        <v>56.2</v>
      </c>
      <c r="E199" s="4" t="s">
        <v>96</v>
      </c>
      <c r="F199" s="2">
        <f>(D199*G199)/100</f>
        <v>56.2</v>
      </c>
      <c r="G199" s="2">
        <v>100</v>
      </c>
      <c r="N199" s="2"/>
    </row>
    <row r="200" spans="1:14" x14ac:dyDescent="0.25">
      <c r="A200" t="str">
        <f>A199</f>
        <v>UL MONEY MARKET FUND</v>
      </c>
      <c r="B200" t="s">
        <v>23</v>
      </c>
      <c r="C200" s="2">
        <v>5.62</v>
      </c>
      <c r="D200" s="1">
        <v>56.2</v>
      </c>
      <c r="E200" s="4" t="s">
        <v>8</v>
      </c>
      <c r="F200" s="2">
        <f ca="1">SUMIF(A:A,M200,F:F)</f>
        <v>56.2</v>
      </c>
      <c r="G200" s="2">
        <f ca="1">SUMIF(A:A,M200,G:G)</f>
        <v>100</v>
      </c>
      <c r="I200" s="2">
        <f ca="1">(D200*J200)/100</f>
        <v>0</v>
      </c>
      <c r="J200" s="2">
        <f ca="1">100-G200</f>
        <v>0</v>
      </c>
      <c r="K200" s="2">
        <f>D200/1000</f>
        <v>5.62E-2</v>
      </c>
      <c r="M200" t="str">
        <f>A199</f>
        <v>UL MONEY MARKET FUND</v>
      </c>
      <c r="N200" s="2"/>
    </row>
    <row r="201" spans="1:14" hidden="1" x14ac:dyDescent="0.25">
      <c r="C201" s="2"/>
    </row>
    <row r="202" spans="1:14" hidden="1" x14ac:dyDescent="0.25">
      <c r="A202" t="s">
        <v>24</v>
      </c>
      <c r="B202" t="s">
        <v>25</v>
      </c>
      <c r="C202" s="2">
        <v>176.83</v>
      </c>
      <c r="D202" s="1">
        <v>1768.3000000000002</v>
      </c>
      <c r="E202" s="4" t="s">
        <v>117</v>
      </c>
    </row>
    <row r="203" spans="1:14" hidden="1" x14ac:dyDescent="0.25">
      <c r="A203" t="s">
        <v>24</v>
      </c>
      <c r="B203" t="s">
        <v>25</v>
      </c>
      <c r="C203" s="2">
        <v>176.83</v>
      </c>
      <c r="D203" s="1">
        <v>1768.3000000000002</v>
      </c>
      <c r="E203" s="2" t="s">
        <v>123</v>
      </c>
      <c r="F203" s="2">
        <f t="shared" ref="F203:F212" si="16">(D203*G203)/100</f>
        <v>354.72098</v>
      </c>
      <c r="G203" s="2">
        <v>20.059999999999999</v>
      </c>
    </row>
    <row r="204" spans="1:14" hidden="1" x14ac:dyDescent="0.25">
      <c r="A204" t="s">
        <v>24</v>
      </c>
      <c r="B204" t="s">
        <v>25</v>
      </c>
      <c r="C204" s="2">
        <v>176.83</v>
      </c>
      <c r="D204" s="1">
        <v>1768.3000000000002</v>
      </c>
      <c r="E204" s="2" t="s">
        <v>156</v>
      </c>
      <c r="F204" s="2">
        <f t="shared" si="16"/>
        <v>284.16581000000002</v>
      </c>
      <c r="G204" s="2">
        <v>16.07</v>
      </c>
    </row>
    <row r="205" spans="1:14" hidden="1" x14ac:dyDescent="0.25">
      <c r="A205" t="s">
        <v>24</v>
      </c>
      <c r="B205" t="s">
        <v>25</v>
      </c>
      <c r="C205" s="2">
        <v>176.83</v>
      </c>
      <c r="D205" s="1">
        <v>1768.3000000000002</v>
      </c>
      <c r="E205" s="2" t="s">
        <v>118</v>
      </c>
      <c r="F205" s="2">
        <f t="shared" si="16"/>
        <v>238.54366999999999</v>
      </c>
      <c r="G205" s="2">
        <v>13.489999999999998</v>
      </c>
    </row>
    <row r="206" spans="1:14" hidden="1" x14ac:dyDescent="0.25">
      <c r="A206" t="s">
        <v>24</v>
      </c>
      <c r="B206" t="s">
        <v>25</v>
      </c>
      <c r="C206" s="2">
        <v>176.83</v>
      </c>
      <c r="D206" s="1">
        <v>1768.3000000000002</v>
      </c>
      <c r="E206" s="2" t="s">
        <v>169</v>
      </c>
      <c r="F206" s="2">
        <f t="shared" si="16"/>
        <v>115.82365000000001</v>
      </c>
      <c r="G206" s="2">
        <v>6.5500000000000007</v>
      </c>
    </row>
    <row r="207" spans="1:14" hidden="1" x14ac:dyDescent="0.25">
      <c r="A207" t="s">
        <v>24</v>
      </c>
      <c r="B207" t="s">
        <v>25</v>
      </c>
      <c r="C207" s="2">
        <v>176.83</v>
      </c>
      <c r="D207" s="1">
        <v>1768.3000000000002</v>
      </c>
      <c r="E207" s="2" t="s">
        <v>121</v>
      </c>
      <c r="F207" s="2">
        <f t="shared" si="16"/>
        <v>37.841619999999999</v>
      </c>
      <c r="G207" s="2">
        <v>2.1399999999999997</v>
      </c>
    </row>
    <row r="208" spans="1:14" hidden="1" x14ac:dyDescent="0.25">
      <c r="A208" t="s">
        <v>24</v>
      </c>
      <c r="B208" t="s">
        <v>25</v>
      </c>
      <c r="C208" s="2">
        <v>176.83</v>
      </c>
      <c r="D208" s="1">
        <v>1768.3000000000002</v>
      </c>
      <c r="E208" s="2" t="s">
        <v>177</v>
      </c>
      <c r="F208" s="2">
        <f t="shared" si="16"/>
        <v>27.054990000000004</v>
      </c>
      <c r="G208" s="2">
        <v>1.53</v>
      </c>
    </row>
    <row r="209" spans="1:14" hidden="1" x14ac:dyDescent="0.25">
      <c r="A209" t="s">
        <v>24</v>
      </c>
      <c r="B209" t="s">
        <v>25</v>
      </c>
      <c r="C209" s="2">
        <v>176.83</v>
      </c>
      <c r="D209" s="1">
        <v>1768.3000000000002</v>
      </c>
      <c r="E209" s="2" t="s">
        <v>180</v>
      </c>
      <c r="F209" s="2">
        <f t="shared" si="16"/>
        <v>26.170840000000002</v>
      </c>
      <c r="G209" s="2">
        <v>1.48</v>
      </c>
    </row>
    <row r="210" spans="1:14" hidden="1" x14ac:dyDescent="0.25">
      <c r="A210" t="s">
        <v>24</v>
      </c>
      <c r="B210" t="s">
        <v>25</v>
      </c>
      <c r="C210" s="2">
        <v>176.83</v>
      </c>
      <c r="D210" s="1">
        <v>1768.3000000000002</v>
      </c>
      <c r="E210" s="2" t="s">
        <v>141</v>
      </c>
      <c r="F210" s="2">
        <f t="shared" si="16"/>
        <v>9.7256499999999999</v>
      </c>
      <c r="G210" s="2">
        <v>0.54999999999999993</v>
      </c>
    </row>
    <row r="211" spans="1:14" hidden="1" x14ac:dyDescent="0.25">
      <c r="A211" t="s">
        <v>24</v>
      </c>
      <c r="B211" t="s">
        <v>25</v>
      </c>
      <c r="C211" s="2">
        <v>176.83</v>
      </c>
      <c r="D211" s="1">
        <v>1768.3000000000002</v>
      </c>
      <c r="E211" s="2" t="s">
        <v>142</v>
      </c>
      <c r="F211" s="2">
        <f t="shared" si="16"/>
        <v>6.8963699999999992</v>
      </c>
      <c r="G211" s="2">
        <v>0.38999999999999996</v>
      </c>
    </row>
    <row r="212" spans="1:14" hidden="1" x14ac:dyDescent="0.25">
      <c r="A212" t="s">
        <v>24</v>
      </c>
      <c r="B212" t="s">
        <v>25</v>
      </c>
      <c r="C212" s="2">
        <v>176.83</v>
      </c>
      <c r="D212" s="1">
        <v>1768.3000000000002</v>
      </c>
      <c r="E212" s="2" t="s">
        <v>139</v>
      </c>
      <c r="F212" s="2">
        <f t="shared" si="16"/>
        <v>6.3658800000000006</v>
      </c>
      <c r="G212" s="2">
        <v>0.36</v>
      </c>
    </row>
    <row r="213" spans="1:14" hidden="1" x14ac:dyDescent="0.25">
      <c r="A213" t="s">
        <v>24</v>
      </c>
      <c r="B213" t="s">
        <v>25</v>
      </c>
      <c r="C213" s="2">
        <v>176.83</v>
      </c>
      <c r="D213" s="1">
        <v>1768.3000000000002</v>
      </c>
      <c r="E213" s="4" t="s">
        <v>126</v>
      </c>
    </row>
    <row r="214" spans="1:14" hidden="1" x14ac:dyDescent="0.25">
      <c r="A214" t="s">
        <v>24</v>
      </c>
      <c r="B214" t="s">
        <v>25</v>
      </c>
      <c r="C214" s="2">
        <v>176.83</v>
      </c>
      <c r="D214" s="1">
        <v>1768.3000000000002</v>
      </c>
      <c r="E214" s="2" t="s">
        <v>127</v>
      </c>
      <c r="F214" s="2">
        <f t="shared" ref="F214:F224" si="17">(D214*G214)/100</f>
        <v>104.86019</v>
      </c>
      <c r="G214" s="2">
        <v>5.93</v>
      </c>
    </row>
    <row r="215" spans="1:14" hidden="1" x14ac:dyDescent="0.25">
      <c r="A215" t="s">
        <v>24</v>
      </c>
      <c r="B215" t="s">
        <v>25</v>
      </c>
      <c r="C215" s="2">
        <v>176.83</v>
      </c>
      <c r="D215" s="1">
        <v>1768.3000000000002</v>
      </c>
      <c r="E215" s="2" t="s">
        <v>132</v>
      </c>
      <c r="F215" s="2">
        <f t="shared" si="17"/>
        <v>101.32359000000001</v>
      </c>
      <c r="G215" s="2">
        <v>5.7299999999999995</v>
      </c>
    </row>
    <row r="216" spans="1:14" hidden="1" x14ac:dyDescent="0.25">
      <c r="A216" t="s">
        <v>24</v>
      </c>
      <c r="B216" t="s">
        <v>25</v>
      </c>
      <c r="C216" s="2">
        <v>176.83</v>
      </c>
      <c r="D216" s="1">
        <v>1768.3000000000002</v>
      </c>
      <c r="E216" s="2" t="s">
        <v>181</v>
      </c>
      <c r="F216" s="2">
        <f t="shared" si="17"/>
        <v>50.042890000000007</v>
      </c>
      <c r="G216" s="2">
        <v>2.83</v>
      </c>
    </row>
    <row r="217" spans="1:14" hidden="1" x14ac:dyDescent="0.25">
      <c r="A217" t="s">
        <v>24</v>
      </c>
      <c r="B217" t="s">
        <v>25</v>
      </c>
      <c r="C217" s="2">
        <v>176.83</v>
      </c>
      <c r="D217" s="1">
        <v>1768.3000000000002</v>
      </c>
      <c r="E217" s="2" t="s">
        <v>145</v>
      </c>
      <c r="F217" s="2">
        <f t="shared" si="17"/>
        <v>49.866060000000004</v>
      </c>
      <c r="G217" s="2">
        <v>2.82</v>
      </c>
    </row>
    <row r="218" spans="1:14" hidden="1" x14ac:dyDescent="0.25">
      <c r="A218" t="s">
        <v>24</v>
      </c>
      <c r="B218" t="s">
        <v>25</v>
      </c>
      <c r="C218" s="2">
        <v>176.83</v>
      </c>
      <c r="D218" s="1">
        <v>1768.3000000000002</v>
      </c>
      <c r="E218" s="2" t="s">
        <v>143</v>
      </c>
      <c r="F218" s="2">
        <f t="shared" si="17"/>
        <v>48.981910000000006</v>
      </c>
      <c r="G218" s="2">
        <v>2.77</v>
      </c>
    </row>
    <row r="219" spans="1:14" hidden="1" x14ac:dyDescent="0.25">
      <c r="A219" t="s">
        <v>24</v>
      </c>
      <c r="B219" t="s">
        <v>25</v>
      </c>
      <c r="C219" s="2">
        <v>176.83</v>
      </c>
      <c r="D219" s="1">
        <v>1768.3000000000002</v>
      </c>
      <c r="E219" s="2" t="s">
        <v>133</v>
      </c>
      <c r="F219" s="2">
        <f t="shared" si="17"/>
        <v>36.780640000000005</v>
      </c>
      <c r="G219" s="2">
        <v>2.08</v>
      </c>
    </row>
    <row r="220" spans="1:14" hidden="1" x14ac:dyDescent="0.25">
      <c r="A220" t="s">
        <v>24</v>
      </c>
      <c r="B220" t="s">
        <v>25</v>
      </c>
      <c r="C220" s="2">
        <v>176.83</v>
      </c>
      <c r="D220" s="1">
        <v>1768.3000000000002</v>
      </c>
      <c r="E220" s="2" t="s">
        <v>173</v>
      </c>
      <c r="F220" s="2">
        <f t="shared" si="17"/>
        <v>35.012340000000009</v>
      </c>
      <c r="G220" s="2">
        <v>1.9800000000000002</v>
      </c>
    </row>
    <row r="221" spans="1:14" hidden="1" x14ac:dyDescent="0.25">
      <c r="A221" t="s">
        <v>24</v>
      </c>
      <c r="B221" t="s">
        <v>25</v>
      </c>
      <c r="C221" s="2">
        <v>176.83</v>
      </c>
      <c r="D221" s="1">
        <v>1768.3000000000002</v>
      </c>
      <c r="E221" s="2" t="s">
        <v>164</v>
      </c>
      <c r="F221" s="2">
        <f t="shared" si="17"/>
        <v>29.530610000000003</v>
      </c>
      <c r="G221" s="2">
        <v>1.67</v>
      </c>
    </row>
    <row r="222" spans="1:14" hidden="1" x14ac:dyDescent="0.25">
      <c r="A222" t="s">
        <v>24</v>
      </c>
      <c r="B222" t="s">
        <v>25</v>
      </c>
      <c r="C222" s="2">
        <v>176.83</v>
      </c>
      <c r="D222" s="1">
        <v>1768.3000000000002</v>
      </c>
      <c r="E222" s="2" t="s">
        <v>136</v>
      </c>
      <c r="F222" s="2">
        <f t="shared" si="17"/>
        <v>24.402539999999998</v>
      </c>
      <c r="G222" s="2">
        <v>1.38</v>
      </c>
    </row>
    <row r="223" spans="1:14" hidden="1" x14ac:dyDescent="0.25">
      <c r="A223" t="s">
        <v>24</v>
      </c>
      <c r="B223" t="s">
        <v>25</v>
      </c>
      <c r="C223" s="2">
        <v>176.83</v>
      </c>
      <c r="D223" s="1">
        <v>1768.3000000000002</v>
      </c>
      <c r="E223" s="2" t="s">
        <v>146</v>
      </c>
      <c r="F223" s="2">
        <f t="shared" si="17"/>
        <v>22.103750000000002</v>
      </c>
      <c r="G223" s="2">
        <v>1.25</v>
      </c>
    </row>
    <row r="224" spans="1:14" hidden="1" x14ac:dyDescent="0.25">
      <c r="A224" t="s">
        <v>24</v>
      </c>
      <c r="B224" t="s">
        <v>25</v>
      </c>
      <c r="C224" s="2">
        <v>176.83</v>
      </c>
      <c r="D224" s="1">
        <v>1768.3000000000002</v>
      </c>
      <c r="E224" s="4" t="s">
        <v>96</v>
      </c>
      <c r="F224" s="2">
        <f t="shared" si="17"/>
        <v>58.88439000000001</v>
      </c>
      <c r="G224" s="2">
        <v>3.3300000000000005</v>
      </c>
      <c r="N224" s="2"/>
    </row>
    <row r="225" spans="1:14" x14ac:dyDescent="0.25">
      <c r="A225" t="str">
        <f>A224</f>
        <v>UL SECURE PLUS</v>
      </c>
      <c r="B225" t="s">
        <v>25</v>
      </c>
      <c r="C225" s="2">
        <v>176.83</v>
      </c>
      <c r="D225" s="1">
        <v>1768.3000000000002</v>
      </c>
      <c r="E225" s="4" t="s">
        <v>8</v>
      </c>
      <c r="F225" s="2">
        <f ca="1">SUMIF(A:A,M225,F:F)</f>
        <v>1669.0983700000002</v>
      </c>
      <c r="G225" s="2">
        <f ca="1">SUMIF(A:A,M225,G:G)</f>
        <v>94.389999999999972</v>
      </c>
      <c r="I225" s="2">
        <f ca="1">(D225*J225)/100</f>
        <v>99.201630000000492</v>
      </c>
      <c r="J225" s="2">
        <f ca="1">100-G225</f>
        <v>5.6100000000000279</v>
      </c>
      <c r="K225" s="2">
        <f>D225/1000</f>
        <v>1.7683000000000002</v>
      </c>
      <c r="M225" t="str">
        <f>A224</f>
        <v>UL SECURE PLUS</v>
      </c>
      <c r="N225" s="2"/>
    </row>
    <row r="226" spans="1:14" hidden="1" x14ac:dyDescent="0.25">
      <c r="C226" s="2"/>
    </row>
    <row r="227" spans="1:14" hidden="1" x14ac:dyDescent="0.25">
      <c r="A227" t="s">
        <v>26</v>
      </c>
      <c r="B227" t="s">
        <v>27</v>
      </c>
      <c r="C227" s="2">
        <v>1.56</v>
      </c>
      <c r="D227" s="1">
        <v>15.600000000000001</v>
      </c>
      <c r="E227" s="4" t="s">
        <v>93</v>
      </c>
    </row>
    <row r="228" spans="1:14" hidden="1" x14ac:dyDescent="0.25">
      <c r="A228" t="s">
        <v>26</v>
      </c>
      <c r="B228" t="s">
        <v>27</v>
      </c>
      <c r="C228" s="2">
        <v>1.56</v>
      </c>
      <c r="D228" s="1">
        <v>15.600000000000001</v>
      </c>
      <c r="E228" t="s">
        <v>2</v>
      </c>
      <c r="F228" s="2">
        <f t="shared" ref="F228:F237" si="18">(D228*G228)/100</f>
        <v>0.24960000000000004</v>
      </c>
      <c r="G228" s="2">
        <v>1.6</v>
      </c>
    </row>
    <row r="229" spans="1:14" hidden="1" x14ac:dyDescent="0.25">
      <c r="A229" t="s">
        <v>26</v>
      </c>
      <c r="B229" t="s">
        <v>27</v>
      </c>
      <c r="C229" s="2">
        <v>1.56</v>
      </c>
      <c r="D229" s="1">
        <v>15.600000000000001</v>
      </c>
      <c r="E229" t="s">
        <v>4</v>
      </c>
      <c r="F229" s="2">
        <f t="shared" si="18"/>
        <v>0.21528</v>
      </c>
      <c r="G229" s="2">
        <v>1.38</v>
      </c>
    </row>
    <row r="230" spans="1:14" hidden="1" x14ac:dyDescent="0.25">
      <c r="A230" t="s">
        <v>26</v>
      </c>
      <c r="B230" t="s">
        <v>27</v>
      </c>
      <c r="C230" s="2">
        <v>1.56</v>
      </c>
      <c r="D230" s="1">
        <v>15.600000000000001</v>
      </c>
      <c r="E230" t="s">
        <v>138</v>
      </c>
      <c r="F230" s="2">
        <f t="shared" si="18"/>
        <v>0.18408000000000002</v>
      </c>
      <c r="G230" s="2">
        <v>1.18</v>
      </c>
    </row>
    <row r="231" spans="1:14" hidden="1" x14ac:dyDescent="0.25">
      <c r="A231" t="s">
        <v>26</v>
      </c>
      <c r="B231" t="s">
        <v>27</v>
      </c>
      <c r="C231" s="2">
        <v>1.56</v>
      </c>
      <c r="D231" s="1">
        <v>15.600000000000001</v>
      </c>
      <c r="E231" t="s">
        <v>3</v>
      </c>
      <c r="F231" s="2">
        <f t="shared" si="18"/>
        <v>0.13884000000000002</v>
      </c>
      <c r="G231" s="2">
        <v>0.89</v>
      </c>
    </row>
    <row r="232" spans="1:14" hidden="1" x14ac:dyDescent="0.25">
      <c r="A232" t="s">
        <v>26</v>
      </c>
      <c r="B232" t="s">
        <v>27</v>
      </c>
      <c r="C232" s="2">
        <v>1.56</v>
      </c>
      <c r="D232" s="1">
        <v>15.600000000000001</v>
      </c>
      <c r="E232" t="s">
        <v>7</v>
      </c>
      <c r="F232" s="2">
        <f t="shared" si="18"/>
        <v>0.12480000000000002</v>
      </c>
      <c r="G232" s="2">
        <v>0.8</v>
      </c>
    </row>
    <row r="233" spans="1:14" hidden="1" x14ac:dyDescent="0.25">
      <c r="A233" t="s">
        <v>26</v>
      </c>
      <c r="B233" t="s">
        <v>27</v>
      </c>
      <c r="C233" s="2">
        <v>1.56</v>
      </c>
      <c r="D233" s="1">
        <v>15.600000000000001</v>
      </c>
      <c r="E233" t="s">
        <v>137</v>
      </c>
      <c r="F233" s="2">
        <f t="shared" si="18"/>
        <v>0.10608000000000001</v>
      </c>
      <c r="G233" s="2">
        <v>0.67999999999999994</v>
      </c>
    </row>
    <row r="234" spans="1:14" hidden="1" x14ac:dyDescent="0.25">
      <c r="A234" t="s">
        <v>26</v>
      </c>
      <c r="B234" t="s">
        <v>27</v>
      </c>
      <c r="C234" s="2">
        <v>1.56</v>
      </c>
      <c r="D234" s="1">
        <v>15.600000000000001</v>
      </c>
      <c r="E234" t="s">
        <v>5</v>
      </c>
      <c r="F234" s="2">
        <f t="shared" si="18"/>
        <v>0.10608000000000001</v>
      </c>
      <c r="G234" s="2">
        <v>0.67999999999999994</v>
      </c>
    </row>
    <row r="235" spans="1:14" hidden="1" x14ac:dyDescent="0.25">
      <c r="A235" t="s">
        <v>26</v>
      </c>
      <c r="B235" t="s">
        <v>27</v>
      </c>
      <c r="C235" s="2">
        <v>1.56</v>
      </c>
      <c r="D235" s="1">
        <v>15.600000000000001</v>
      </c>
      <c r="E235" t="s">
        <v>116</v>
      </c>
      <c r="F235" s="2">
        <f t="shared" si="18"/>
        <v>8.1120000000000025E-2</v>
      </c>
      <c r="G235" s="2">
        <v>0.52</v>
      </c>
    </row>
    <row r="236" spans="1:14" hidden="1" x14ac:dyDescent="0.25">
      <c r="A236" t="s">
        <v>26</v>
      </c>
      <c r="B236" t="s">
        <v>27</v>
      </c>
      <c r="C236" s="2">
        <v>1.56</v>
      </c>
      <c r="D236" s="1">
        <v>15.600000000000001</v>
      </c>
      <c r="E236" t="s">
        <v>13</v>
      </c>
      <c r="F236" s="2">
        <f t="shared" si="18"/>
        <v>7.4880000000000002E-2</v>
      </c>
      <c r="G236" s="2">
        <v>0.48</v>
      </c>
    </row>
    <row r="237" spans="1:14" hidden="1" x14ac:dyDescent="0.25">
      <c r="A237" t="s">
        <v>26</v>
      </c>
      <c r="B237" t="s">
        <v>27</v>
      </c>
      <c r="C237" s="2">
        <v>1.56</v>
      </c>
      <c r="D237" s="1">
        <v>15.600000000000001</v>
      </c>
      <c r="E237" t="s">
        <v>6</v>
      </c>
      <c r="F237" s="2">
        <f t="shared" si="18"/>
        <v>7.4880000000000002E-2</v>
      </c>
      <c r="G237" s="2">
        <v>0.48</v>
      </c>
    </row>
    <row r="238" spans="1:14" hidden="1" x14ac:dyDescent="0.25">
      <c r="A238" t="s">
        <v>26</v>
      </c>
      <c r="B238" t="s">
        <v>27</v>
      </c>
      <c r="C238" s="2">
        <v>1.56</v>
      </c>
      <c r="D238" s="1">
        <v>15.600000000000001</v>
      </c>
      <c r="E238" s="4" t="s">
        <v>117</v>
      </c>
    </row>
    <row r="239" spans="1:14" hidden="1" x14ac:dyDescent="0.25">
      <c r="A239" t="s">
        <v>26</v>
      </c>
      <c r="B239" t="s">
        <v>27</v>
      </c>
      <c r="C239" s="2">
        <v>1.56</v>
      </c>
      <c r="D239" s="1">
        <v>15.600000000000001</v>
      </c>
      <c r="E239" s="2" t="s">
        <v>123</v>
      </c>
      <c r="F239" s="2">
        <f t="shared" ref="F239:F248" si="19">(D239*G239)/100</f>
        <v>4.299360000000001</v>
      </c>
      <c r="G239" s="2">
        <v>27.560000000000002</v>
      </c>
    </row>
    <row r="240" spans="1:14" hidden="1" x14ac:dyDescent="0.25">
      <c r="A240" t="s">
        <v>26</v>
      </c>
      <c r="B240" t="s">
        <v>27</v>
      </c>
      <c r="C240" s="2">
        <v>1.56</v>
      </c>
      <c r="D240" s="1">
        <v>15.600000000000001</v>
      </c>
      <c r="E240" s="2" t="s">
        <v>156</v>
      </c>
      <c r="F240" s="2">
        <f t="shared" si="19"/>
        <v>2.2401600000000004</v>
      </c>
      <c r="G240" s="2">
        <v>14.360000000000001</v>
      </c>
    </row>
    <row r="241" spans="1:14" hidden="1" x14ac:dyDescent="0.25">
      <c r="A241" t="s">
        <v>26</v>
      </c>
      <c r="B241" t="s">
        <v>27</v>
      </c>
      <c r="C241" s="2">
        <v>1.56</v>
      </c>
      <c r="D241" s="1">
        <v>15.600000000000001</v>
      </c>
      <c r="E241" s="2" t="s">
        <v>124</v>
      </c>
      <c r="F241" s="2">
        <f t="shared" si="19"/>
        <v>1.3852800000000003</v>
      </c>
      <c r="G241" s="2">
        <v>8.8800000000000008</v>
      </c>
    </row>
    <row r="242" spans="1:14" hidden="1" x14ac:dyDescent="0.25">
      <c r="A242" t="s">
        <v>26</v>
      </c>
      <c r="B242" t="s">
        <v>27</v>
      </c>
      <c r="C242" s="2">
        <v>1.56</v>
      </c>
      <c r="D242" s="1">
        <v>15.600000000000001</v>
      </c>
      <c r="E242" s="2" t="s">
        <v>118</v>
      </c>
      <c r="F242" s="2">
        <f t="shared" si="19"/>
        <v>0.9781200000000001</v>
      </c>
      <c r="G242" s="2">
        <v>6.2700000000000005</v>
      </c>
    </row>
    <row r="243" spans="1:14" hidden="1" x14ac:dyDescent="0.25">
      <c r="A243" t="s">
        <v>26</v>
      </c>
      <c r="B243" t="s">
        <v>27</v>
      </c>
      <c r="C243" s="2">
        <v>1.56</v>
      </c>
      <c r="D243" s="1">
        <v>15.600000000000001</v>
      </c>
      <c r="E243" s="2" t="s">
        <v>140</v>
      </c>
      <c r="F243" s="2">
        <f t="shared" si="19"/>
        <v>0.83148000000000011</v>
      </c>
      <c r="G243" s="2">
        <v>5.33</v>
      </c>
    </row>
    <row r="244" spans="1:14" hidden="1" x14ac:dyDescent="0.25">
      <c r="A244" t="s">
        <v>26</v>
      </c>
      <c r="B244" t="s">
        <v>27</v>
      </c>
      <c r="C244" s="2">
        <v>1.56</v>
      </c>
      <c r="D244" s="1">
        <v>15.600000000000001</v>
      </c>
      <c r="E244" s="2" t="s">
        <v>176</v>
      </c>
      <c r="F244" s="2">
        <f t="shared" si="19"/>
        <v>0.79092000000000018</v>
      </c>
      <c r="G244" s="2">
        <v>5.07</v>
      </c>
    </row>
    <row r="245" spans="1:14" hidden="1" x14ac:dyDescent="0.25">
      <c r="A245" t="s">
        <v>26</v>
      </c>
      <c r="B245" t="s">
        <v>27</v>
      </c>
      <c r="C245" s="2">
        <v>1.56</v>
      </c>
      <c r="D245" s="1">
        <v>15.600000000000001</v>
      </c>
      <c r="E245" s="2" t="s">
        <v>120</v>
      </c>
      <c r="F245" s="2">
        <f t="shared" si="19"/>
        <v>0.30420000000000003</v>
      </c>
      <c r="G245" s="2">
        <v>1.95</v>
      </c>
    </row>
    <row r="246" spans="1:14" hidden="1" x14ac:dyDescent="0.25">
      <c r="A246" t="s">
        <v>26</v>
      </c>
      <c r="B246" t="s">
        <v>27</v>
      </c>
      <c r="C246" s="2">
        <v>1.56</v>
      </c>
      <c r="D246" s="1">
        <v>15.600000000000001</v>
      </c>
      <c r="E246" s="2" t="s">
        <v>182</v>
      </c>
      <c r="F246" s="2">
        <f t="shared" si="19"/>
        <v>0.25428000000000001</v>
      </c>
      <c r="G246" s="2">
        <v>1.63</v>
      </c>
    </row>
    <row r="247" spans="1:14" hidden="1" x14ac:dyDescent="0.25">
      <c r="A247" t="s">
        <v>26</v>
      </c>
      <c r="B247" t="s">
        <v>27</v>
      </c>
      <c r="C247" s="2">
        <v>1.56</v>
      </c>
      <c r="D247" s="1">
        <v>15.600000000000001</v>
      </c>
      <c r="E247" s="2" t="s">
        <v>183</v>
      </c>
      <c r="F247" s="2">
        <f t="shared" si="19"/>
        <v>7.4880000000000002E-2</v>
      </c>
      <c r="G247" s="2">
        <v>0.48</v>
      </c>
    </row>
    <row r="248" spans="1:14" hidden="1" x14ac:dyDescent="0.25">
      <c r="A248" t="s">
        <v>26</v>
      </c>
      <c r="B248" t="s">
        <v>27</v>
      </c>
      <c r="C248" s="2">
        <v>1.56</v>
      </c>
      <c r="D248" s="1">
        <v>15.600000000000001</v>
      </c>
      <c r="E248" s="2" t="s">
        <v>184</v>
      </c>
      <c r="F248" s="2">
        <f t="shared" si="19"/>
        <v>6.8640000000000007E-2</v>
      </c>
      <c r="G248" s="2">
        <v>0.44</v>
      </c>
    </row>
    <row r="249" spans="1:14" hidden="1" x14ac:dyDescent="0.25">
      <c r="A249" t="s">
        <v>26</v>
      </c>
      <c r="B249" t="s">
        <v>27</v>
      </c>
      <c r="C249" s="2">
        <v>1.56</v>
      </c>
      <c r="D249" s="1">
        <v>15.600000000000001</v>
      </c>
      <c r="E249" s="4" t="s">
        <v>126</v>
      </c>
    </row>
    <row r="250" spans="1:14" hidden="1" x14ac:dyDescent="0.25">
      <c r="A250" t="s">
        <v>26</v>
      </c>
      <c r="B250" t="s">
        <v>27</v>
      </c>
      <c r="C250" s="2">
        <v>1.56</v>
      </c>
      <c r="D250" s="1">
        <v>15.600000000000001</v>
      </c>
      <c r="E250" s="2" t="s">
        <v>133</v>
      </c>
      <c r="F250" s="2">
        <f>(D250*G250)/100</f>
        <v>0.69576000000000005</v>
      </c>
      <c r="G250" s="2">
        <v>4.46</v>
      </c>
    </row>
    <row r="251" spans="1:14" hidden="1" x14ac:dyDescent="0.25">
      <c r="A251" t="s">
        <v>26</v>
      </c>
      <c r="B251" t="s">
        <v>27</v>
      </c>
      <c r="C251" s="2">
        <v>1.56</v>
      </c>
      <c r="D251" s="1">
        <v>15.600000000000001</v>
      </c>
      <c r="E251" s="2" t="s">
        <v>185</v>
      </c>
      <c r="F251" s="2">
        <f>(D251*G251)/100</f>
        <v>0.30108000000000001</v>
      </c>
      <c r="G251" s="2">
        <v>1.9300000000000002</v>
      </c>
    </row>
    <row r="252" spans="1:14" hidden="1" x14ac:dyDescent="0.25">
      <c r="A252" t="s">
        <v>26</v>
      </c>
      <c r="B252" t="s">
        <v>27</v>
      </c>
      <c r="C252" s="2">
        <v>1.56</v>
      </c>
      <c r="D252" s="1">
        <v>15.600000000000001</v>
      </c>
      <c r="E252" s="2" t="s">
        <v>186</v>
      </c>
      <c r="F252" s="2">
        <f>(D252*G252)/100</f>
        <v>0.1014</v>
      </c>
      <c r="G252" s="2">
        <v>0.65</v>
      </c>
    </row>
    <row r="253" spans="1:14" hidden="1" x14ac:dyDescent="0.25">
      <c r="A253" t="s">
        <v>26</v>
      </c>
      <c r="B253" t="s">
        <v>27</v>
      </c>
      <c r="C253" s="2">
        <v>1.56</v>
      </c>
      <c r="D253" s="1">
        <v>15.600000000000001</v>
      </c>
      <c r="E253" s="4" t="s">
        <v>96</v>
      </c>
      <c r="F253" s="2">
        <f>(D253*G253)/100</f>
        <v>1.1840400000000002</v>
      </c>
      <c r="G253" s="2">
        <v>7.59</v>
      </c>
      <c r="N253" s="2"/>
    </row>
    <row r="254" spans="1:14" x14ac:dyDescent="0.25">
      <c r="A254" t="str">
        <f>A253</f>
        <v>GUARANTEED FUND- DYNAMIC</v>
      </c>
      <c r="B254" t="s">
        <v>27</v>
      </c>
      <c r="C254" s="2">
        <v>1.56</v>
      </c>
      <c r="D254" s="1">
        <v>15.600000000000001</v>
      </c>
      <c r="E254" s="4" t="s">
        <v>8</v>
      </c>
      <c r="F254" s="2">
        <f ca="1">SUMIF(A:A,M254,F:F)</f>
        <v>14.865240000000004</v>
      </c>
      <c r="G254" s="2">
        <f ca="1">SUMIF(A:A,M254,G:G)</f>
        <v>95.29</v>
      </c>
      <c r="I254" s="2">
        <f ca="1">(D254*J254)/100</f>
        <v>0.73475999999999919</v>
      </c>
      <c r="J254" s="2">
        <f ca="1">100-G254</f>
        <v>4.7099999999999937</v>
      </c>
      <c r="K254" s="2">
        <f>D254/1000</f>
        <v>1.5600000000000001E-2</v>
      </c>
      <c r="M254" t="str">
        <f>A253</f>
        <v>GUARANTEED FUND- DYNAMIC</v>
      </c>
    </row>
    <row r="255" spans="1:14" hidden="1" x14ac:dyDescent="0.25">
      <c r="C255" s="2"/>
      <c r="D255" s="1"/>
    </row>
    <row r="256" spans="1:14" hidden="1" x14ac:dyDescent="0.25">
      <c r="A256" t="s">
        <v>28</v>
      </c>
      <c r="B256" t="s">
        <v>29</v>
      </c>
      <c r="C256" s="2">
        <v>0.49</v>
      </c>
      <c r="D256" s="1">
        <v>4.9000000000000004</v>
      </c>
      <c r="E256" s="4" t="s">
        <v>93</v>
      </c>
    </row>
    <row r="257" spans="1:7" hidden="1" x14ac:dyDescent="0.25">
      <c r="A257" t="s">
        <v>28</v>
      </c>
      <c r="B257" t="s">
        <v>29</v>
      </c>
      <c r="C257" s="2">
        <v>0.49</v>
      </c>
      <c r="D257" s="1">
        <v>4.9000000000000004</v>
      </c>
      <c r="E257" t="s">
        <v>2</v>
      </c>
      <c r="F257" s="2">
        <f t="shared" ref="F257:F266" si="20">(D257*G257)/100</f>
        <v>2.6460000000000004E-2</v>
      </c>
      <c r="G257" s="2">
        <v>0.54</v>
      </c>
    </row>
    <row r="258" spans="1:7" hidden="1" x14ac:dyDescent="0.25">
      <c r="A258" t="s">
        <v>28</v>
      </c>
      <c r="B258" t="s">
        <v>29</v>
      </c>
      <c r="C258" s="2">
        <v>0.49</v>
      </c>
      <c r="D258" s="1">
        <v>4.9000000000000004</v>
      </c>
      <c r="E258" t="s">
        <v>4</v>
      </c>
      <c r="F258" s="2">
        <f t="shared" si="20"/>
        <v>2.2540000000000001E-2</v>
      </c>
      <c r="G258" s="2">
        <v>0.45999999999999996</v>
      </c>
    </row>
    <row r="259" spans="1:7" hidden="1" x14ac:dyDescent="0.25">
      <c r="A259" t="s">
        <v>28</v>
      </c>
      <c r="B259" t="s">
        <v>29</v>
      </c>
      <c r="C259" s="2">
        <v>0.49</v>
      </c>
      <c r="D259" s="1">
        <v>4.9000000000000004</v>
      </c>
      <c r="E259" t="s">
        <v>138</v>
      </c>
      <c r="F259" s="2">
        <f t="shared" si="20"/>
        <v>1.813E-2</v>
      </c>
      <c r="G259" s="2">
        <v>0.37</v>
      </c>
    </row>
    <row r="260" spans="1:7" hidden="1" x14ac:dyDescent="0.25">
      <c r="A260" t="s">
        <v>28</v>
      </c>
      <c r="B260" t="s">
        <v>29</v>
      </c>
      <c r="C260" s="2">
        <v>0.49</v>
      </c>
      <c r="D260" s="1">
        <v>4.9000000000000004</v>
      </c>
      <c r="E260" t="s">
        <v>3</v>
      </c>
      <c r="F260" s="2">
        <f t="shared" si="20"/>
        <v>1.421E-2</v>
      </c>
      <c r="G260" s="2">
        <v>0.28999999999999998</v>
      </c>
    </row>
    <row r="261" spans="1:7" hidden="1" x14ac:dyDescent="0.25">
      <c r="A261" t="s">
        <v>28</v>
      </c>
      <c r="B261" t="s">
        <v>29</v>
      </c>
      <c r="C261" s="2">
        <v>0.49</v>
      </c>
      <c r="D261" s="1">
        <v>4.9000000000000004</v>
      </c>
      <c r="E261" t="s">
        <v>7</v>
      </c>
      <c r="F261" s="2">
        <f t="shared" si="20"/>
        <v>1.2740000000000003E-2</v>
      </c>
      <c r="G261" s="2">
        <v>0.26</v>
      </c>
    </row>
    <row r="262" spans="1:7" hidden="1" x14ac:dyDescent="0.25">
      <c r="A262" t="s">
        <v>28</v>
      </c>
      <c r="B262" t="s">
        <v>29</v>
      </c>
      <c r="C262" s="2">
        <v>0.49</v>
      </c>
      <c r="D262" s="1">
        <v>4.9000000000000004</v>
      </c>
      <c r="E262" t="s">
        <v>137</v>
      </c>
      <c r="F262" s="2">
        <f t="shared" si="20"/>
        <v>1.0780000000000001E-2</v>
      </c>
      <c r="G262" s="2">
        <v>0.22</v>
      </c>
    </row>
    <row r="263" spans="1:7" hidden="1" x14ac:dyDescent="0.25">
      <c r="A263" t="s">
        <v>28</v>
      </c>
      <c r="B263" t="s">
        <v>29</v>
      </c>
      <c r="C263" s="2">
        <v>0.49</v>
      </c>
      <c r="D263" s="1">
        <v>4.9000000000000004</v>
      </c>
      <c r="E263" t="s">
        <v>5</v>
      </c>
      <c r="F263" s="2">
        <f t="shared" si="20"/>
        <v>9.3100000000000006E-3</v>
      </c>
      <c r="G263" s="2">
        <v>0.19</v>
      </c>
    </row>
    <row r="264" spans="1:7" hidden="1" x14ac:dyDescent="0.25">
      <c r="A264" t="s">
        <v>28</v>
      </c>
      <c r="B264" t="s">
        <v>29</v>
      </c>
      <c r="C264" s="2">
        <v>0.49</v>
      </c>
      <c r="D264" s="1">
        <v>4.9000000000000004</v>
      </c>
      <c r="E264" t="s">
        <v>116</v>
      </c>
      <c r="F264" s="2">
        <f t="shared" si="20"/>
        <v>8.3299999999999989E-3</v>
      </c>
      <c r="G264" s="2">
        <v>0.16999999999999998</v>
      </c>
    </row>
    <row r="265" spans="1:7" hidden="1" x14ac:dyDescent="0.25">
      <c r="A265" t="s">
        <v>28</v>
      </c>
      <c r="B265" t="s">
        <v>29</v>
      </c>
      <c r="C265" s="2">
        <v>0.49</v>
      </c>
      <c r="D265" s="1">
        <v>4.9000000000000004</v>
      </c>
      <c r="E265" t="s">
        <v>6</v>
      </c>
      <c r="F265" s="2">
        <f t="shared" si="20"/>
        <v>7.8399999999999997E-3</v>
      </c>
      <c r="G265" s="2">
        <v>0.16</v>
      </c>
    </row>
    <row r="266" spans="1:7" hidden="1" x14ac:dyDescent="0.25">
      <c r="A266" t="s">
        <v>28</v>
      </c>
      <c r="B266" t="s">
        <v>29</v>
      </c>
      <c r="C266" s="2">
        <v>0.49</v>
      </c>
      <c r="D266" s="1">
        <v>4.9000000000000004</v>
      </c>
      <c r="E266" t="s">
        <v>13</v>
      </c>
      <c r="F266" s="2">
        <f t="shared" si="20"/>
        <v>6.8599999999999998E-3</v>
      </c>
      <c r="G266" s="2">
        <v>0.13999999999999999</v>
      </c>
    </row>
    <row r="267" spans="1:7" hidden="1" x14ac:dyDescent="0.25">
      <c r="A267" t="s">
        <v>28</v>
      </c>
      <c r="B267" t="s">
        <v>29</v>
      </c>
      <c r="C267" s="2">
        <v>0.49</v>
      </c>
      <c r="D267" s="1">
        <v>4.9000000000000004</v>
      </c>
      <c r="E267" s="4" t="s">
        <v>117</v>
      </c>
    </row>
    <row r="268" spans="1:7" hidden="1" x14ac:dyDescent="0.25">
      <c r="A268" t="s">
        <v>28</v>
      </c>
      <c r="B268" t="s">
        <v>29</v>
      </c>
      <c r="C268" s="2">
        <v>0.49</v>
      </c>
      <c r="D268" s="1">
        <v>4.9000000000000004</v>
      </c>
      <c r="E268" t="s">
        <v>123</v>
      </c>
      <c r="F268" s="2">
        <f t="shared" ref="F268:F278" si="21">(D268*G268)/100</f>
        <v>2.01586</v>
      </c>
      <c r="G268" s="2">
        <v>41.14</v>
      </c>
    </row>
    <row r="269" spans="1:7" hidden="1" x14ac:dyDescent="0.25">
      <c r="A269" t="s">
        <v>28</v>
      </c>
      <c r="B269" t="s">
        <v>29</v>
      </c>
      <c r="C269" s="2">
        <v>0.49</v>
      </c>
      <c r="D269" s="1">
        <v>4.9000000000000004</v>
      </c>
      <c r="E269" t="s">
        <v>156</v>
      </c>
      <c r="F269" s="2">
        <f t="shared" si="21"/>
        <v>1.01675</v>
      </c>
      <c r="G269" s="2">
        <v>20.75</v>
      </c>
    </row>
    <row r="270" spans="1:7" hidden="1" x14ac:dyDescent="0.25">
      <c r="A270" t="s">
        <v>28</v>
      </c>
      <c r="B270" t="s">
        <v>29</v>
      </c>
      <c r="C270" s="2">
        <v>0.49</v>
      </c>
      <c r="D270" s="1">
        <v>4.9000000000000004</v>
      </c>
      <c r="E270" t="s">
        <v>124</v>
      </c>
      <c r="F270" s="2">
        <f t="shared" si="21"/>
        <v>0.37240000000000001</v>
      </c>
      <c r="G270" s="2">
        <v>7.6</v>
      </c>
    </row>
    <row r="271" spans="1:7" hidden="1" x14ac:dyDescent="0.25">
      <c r="A271" t="s">
        <v>28</v>
      </c>
      <c r="B271" t="s">
        <v>29</v>
      </c>
      <c r="C271" s="2">
        <v>0.49</v>
      </c>
      <c r="D271" s="1">
        <v>4.9000000000000004</v>
      </c>
      <c r="E271" t="s">
        <v>176</v>
      </c>
      <c r="F271" s="2">
        <f t="shared" si="21"/>
        <v>0.31899000000000005</v>
      </c>
      <c r="G271" s="2">
        <v>6.5100000000000007</v>
      </c>
    </row>
    <row r="272" spans="1:7" hidden="1" x14ac:dyDescent="0.25">
      <c r="A272" t="s">
        <v>28</v>
      </c>
      <c r="B272" t="s">
        <v>29</v>
      </c>
      <c r="C272" s="2">
        <v>0.49</v>
      </c>
      <c r="D272" s="1">
        <v>4.9000000000000004</v>
      </c>
      <c r="E272" t="s">
        <v>140</v>
      </c>
      <c r="F272" s="2">
        <f t="shared" si="21"/>
        <v>0.27979000000000004</v>
      </c>
      <c r="G272" s="2">
        <v>5.71</v>
      </c>
    </row>
    <row r="273" spans="1:14" hidden="1" x14ac:dyDescent="0.25">
      <c r="A273" t="s">
        <v>28</v>
      </c>
      <c r="B273" t="s">
        <v>29</v>
      </c>
      <c r="C273" s="2">
        <v>0.49</v>
      </c>
      <c r="D273" s="1">
        <v>4.9000000000000004</v>
      </c>
      <c r="E273" t="s">
        <v>139</v>
      </c>
      <c r="F273" s="2">
        <f t="shared" si="21"/>
        <v>0.21364000000000005</v>
      </c>
      <c r="G273" s="2">
        <v>4.3600000000000003</v>
      </c>
    </row>
    <row r="274" spans="1:14" hidden="1" x14ac:dyDescent="0.25">
      <c r="A274" t="s">
        <v>28</v>
      </c>
      <c r="B274" t="s">
        <v>29</v>
      </c>
      <c r="C274" s="2">
        <v>0.49</v>
      </c>
      <c r="D274" s="1">
        <v>4.9000000000000004</v>
      </c>
      <c r="E274" t="s">
        <v>163</v>
      </c>
      <c r="F274" s="2">
        <f t="shared" si="21"/>
        <v>0.20286000000000001</v>
      </c>
      <c r="G274" s="2">
        <v>4.1399999999999997</v>
      </c>
    </row>
    <row r="275" spans="1:14" hidden="1" x14ac:dyDescent="0.25">
      <c r="A275" t="s">
        <v>28</v>
      </c>
      <c r="B275" t="s">
        <v>29</v>
      </c>
      <c r="C275" s="2">
        <v>0.49</v>
      </c>
      <c r="D275" s="1">
        <v>4.9000000000000004</v>
      </c>
      <c r="E275" t="s">
        <v>183</v>
      </c>
      <c r="F275" s="2">
        <f t="shared" si="21"/>
        <v>3.7730000000000007E-2</v>
      </c>
      <c r="G275" s="2">
        <v>0.77</v>
      </c>
    </row>
    <row r="276" spans="1:14" hidden="1" x14ac:dyDescent="0.25">
      <c r="A276" t="s">
        <v>28</v>
      </c>
      <c r="B276" t="s">
        <v>29</v>
      </c>
      <c r="C276" s="2">
        <v>0.49</v>
      </c>
      <c r="D276" s="1">
        <v>4.9000000000000004</v>
      </c>
      <c r="E276" t="s">
        <v>167</v>
      </c>
      <c r="F276" s="2">
        <f t="shared" si="21"/>
        <v>1.6170000000000004E-2</v>
      </c>
      <c r="G276" s="2">
        <v>0.33</v>
      </c>
    </row>
    <row r="277" spans="1:14" hidden="1" x14ac:dyDescent="0.25">
      <c r="A277" t="s">
        <v>28</v>
      </c>
      <c r="B277" t="s">
        <v>29</v>
      </c>
      <c r="C277" s="2">
        <v>0.49</v>
      </c>
      <c r="D277" s="1">
        <v>4.9000000000000004</v>
      </c>
      <c r="E277" t="s">
        <v>187</v>
      </c>
      <c r="F277" s="2">
        <f t="shared" si="21"/>
        <v>1.372E-2</v>
      </c>
      <c r="G277" s="2">
        <v>0.27999999999999997</v>
      </c>
    </row>
    <row r="278" spans="1:14" hidden="1" x14ac:dyDescent="0.25">
      <c r="A278" t="s">
        <v>28</v>
      </c>
      <c r="B278" t="s">
        <v>29</v>
      </c>
      <c r="C278" s="2">
        <v>0.49</v>
      </c>
      <c r="D278" s="1">
        <v>4.9000000000000004</v>
      </c>
      <c r="E278" s="4" t="s">
        <v>96</v>
      </c>
      <c r="F278" s="2">
        <f t="shared" si="21"/>
        <v>0.19893999999999998</v>
      </c>
      <c r="G278" s="2">
        <v>4.0599999999999996</v>
      </c>
      <c r="N278" s="2"/>
    </row>
    <row r="279" spans="1:14" x14ac:dyDescent="0.25">
      <c r="A279" t="str">
        <f>A278</f>
        <v>GUARANTEED FUND-INCOME</v>
      </c>
      <c r="B279" t="s">
        <v>29</v>
      </c>
      <c r="C279" s="2">
        <v>0.49</v>
      </c>
      <c r="D279" s="1">
        <v>4.9000000000000004</v>
      </c>
      <c r="E279" s="4" t="s">
        <v>8</v>
      </c>
      <c r="F279" s="2">
        <f ca="1">SUMIF(A:A,M279,F:F)</f>
        <v>4.8240499999999997</v>
      </c>
      <c r="G279" s="2">
        <f ca="1">SUMIF(A:A,M279,G:G)</f>
        <v>98.449999999999989</v>
      </c>
      <c r="I279" s="2">
        <f ca="1">(D279*J279)/100</f>
        <v>7.5950000000000573E-2</v>
      </c>
      <c r="J279" s="2">
        <f ca="1">100-G279</f>
        <v>1.5500000000000114</v>
      </c>
      <c r="K279" s="2">
        <f>D279/1000</f>
        <v>4.9000000000000007E-3</v>
      </c>
      <c r="M279" t="str">
        <f>A278</f>
        <v>GUARANTEED FUND-INCOME</v>
      </c>
    </row>
    <row r="280" spans="1:14" hidden="1" x14ac:dyDescent="0.25">
      <c r="C280" s="1"/>
      <c r="D280" s="1"/>
    </row>
    <row r="281" spans="1:14" hidden="1" x14ac:dyDescent="0.25">
      <c r="A281" t="s">
        <v>30</v>
      </c>
      <c r="B281" t="s">
        <v>31</v>
      </c>
      <c r="C281" s="1">
        <v>3327.76</v>
      </c>
      <c r="D281" s="1">
        <v>33277.600000000006</v>
      </c>
      <c r="E281" s="4" t="s">
        <v>93</v>
      </c>
      <c r="N281" s="2"/>
    </row>
    <row r="282" spans="1:14" hidden="1" x14ac:dyDescent="0.25">
      <c r="A282" t="s">
        <v>30</v>
      </c>
      <c r="B282" t="s">
        <v>31</v>
      </c>
      <c r="C282" s="1">
        <v>3327.76</v>
      </c>
      <c r="D282" s="1">
        <v>33277.600000000006</v>
      </c>
      <c r="E282" t="s">
        <v>2</v>
      </c>
      <c r="F282" s="2">
        <f t="shared" ref="F282:F292" si="22">(D282*G282)/100</f>
        <v>1910.1342400000003</v>
      </c>
      <c r="G282" s="2">
        <v>5.74</v>
      </c>
    </row>
    <row r="283" spans="1:14" hidden="1" x14ac:dyDescent="0.25">
      <c r="A283" t="s">
        <v>30</v>
      </c>
      <c r="B283" t="s">
        <v>31</v>
      </c>
      <c r="C283" s="1">
        <v>3327.76</v>
      </c>
      <c r="D283" s="1">
        <v>33277.600000000006</v>
      </c>
      <c r="E283" t="s">
        <v>4</v>
      </c>
      <c r="F283" s="2">
        <f t="shared" si="22"/>
        <v>1673.86328</v>
      </c>
      <c r="G283" s="2">
        <v>5.0299999999999994</v>
      </c>
    </row>
    <row r="284" spans="1:14" hidden="1" x14ac:dyDescent="0.25">
      <c r="A284" t="s">
        <v>30</v>
      </c>
      <c r="B284" t="s">
        <v>31</v>
      </c>
      <c r="C284" s="1">
        <v>3327.76</v>
      </c>
      <c r="D284" s="1">
        <v>33277.600000000006</v>
      </c>
      <c r="E284" t="s">
        <v>3</v>
      </c>
      <c r="F284" s="2">
        <f t="shared" si="22"/>
        <v>1570.7027200000002</v>
      </c>
      <c r="G284" s="2">
        <v>4.72</v>
      </c>
    </row>
    <row r="285" spans="1:14" hidden="1" x14ac:dyDescent="0.25">
      <c r="A285" t="s">
        <v>30</v>
      </c>
      <c r="B285" t="s">
        <v>31</v>
      </c>
      <c r="C285" s="1">
        <v>3327.76</v>
      </c>
      <c r="D285" s="1">
        <v>33277.600000000006</v>
      </c>
      <c r="E285" t="s">
        <v>7</v>
      </c>
      <c r="F285" s="2">
        <f t="shared" si="22"/>
        <v>1234.5989600000003</v>
      </c>
      <c r="G285" s="2">
        <v>3.71</v>
      </c>
    </row>
    <row r="286" spans="1:14" hidden="1" x14ac:dyDescent="0.25">
      <c r="A286" t="s">
        <v>30</v>
      </c>
      <c r="B286" t="s">
        <v>31</v>
      </c>
      <c r="C286" s="1">
        <v>3327.76</v>
      </c>
      <c r="D286" s="1">
        <v>33277.600000000006</v>
      </c>
      <c r="E286" t="s">
        <v>6</v>
      </c>
      <c r="F286" s="2">
        <f t="shared" si="22"/>
        <v>1151.4049600000001</v>
      </c>
      <c r="G286" s="2">
        <v>3.46</v>
      </c>
    </row>
    <row r="287" spans="1:14" hidden="1" x14ac:dyDescent="0.25">
      <c r="A287" t="s">
        <v>30</v>
      </c>
      <c r="B287" t="s">
        <v>31</v>
      </c>
      <c r="C287" s="1">
        <v>3327.76</v>
      </c>
      <c r="D287" s="1">
        <v>33277.600000000006</v>
      </c>
      <c r="E287" t="s">
        <v>13</v>
      </c>
      <c r="F287" s="2">
        <f t="shared" si="22"/>
        <v>885.18416000000013</v>
      </c>
      <c r="G287" s="2">
        <v>2.6599999999999997</v>
      </c>
    </row>
    <row r="288" spans="1:14" hidden="1" x14ac:dyDescent="0.25">
      <c r="A288" t="s">
        <v>30</v>
      </c>
      <c r="B288" t="s">
        <v>31</v>
      </c>
      <c r="C288" s="1">
        <v>3327.76</v>
      </c>
      <c r="D288" s="1">
        <v>33277.600000000006</v>
      </c>
      <c r="E288" t="s">
        <v>87</v>
      </c>
      <c r="F288" s="2">
        <f t="shared" si="22"/>
        <v>868.54536000000019</v>
      </c>
      <c r="G288" s="2">
        <v>2.6100000000000003</v>
      </c>
    </row>
    <row r="289" spans="1:14" hidden="1" x14ac:dyDescent="0.25">
      <c r="A289" t="s">
        <v>30</v>
      </c>
      <c r="B289" t="s">
        <v>31</v>
      </c>
      <c r="C289" s="1">
        <v>3327.76</v>
      </c>
      <c r="D289" s="1">
        <v>33277.600000000006</v>
      </c>
      <c r="E289" t="s">
        <v>174</v>
      </c>
      <c r="F289" s="2">
        <f t="shared" si="22"/>
        <v>811.9734400000001</v>
      </c>
      <c r="G289" s="2">
        <v>2.44</v>
      </c>
    </row>
    <row r="290" spans="1:14" hidden="1" x14ac:dyDescent="0.25">
      <c r="A290" t="s">
        <v>30</v>
      </c>
      <c r="B290" t="s">
        <v>31</v>
      </c>
      <c r="C290" s="1">
        <v>3327.76</v>
      </c>
      <c r="D290" s="1">
        <v>33277.600000000006</v>
      </c>
      <c r="E290" t="s">
        <v>188</v>
      </c>
      <c r="F290" s="2">
        <f t="shared" si="22"/>
        <v>735.43496000000016</v>
      </c>
      <c r="G290" s="2">
        <v>2.21</v>
      </c>
    </row>
    <row r="291" spans="1:14" hidden="1" x14ac:dyDescent="0.25">
      <c r="A291" t="s">
        <v>30</v>
      </c>
      <c r="B291" t="s">
        <v>31</v>
      </c>
      <c r="C291" s="1">
        <v>3327.76</v>
      </c>
      <c r="D291" s="1">
        <v>33277.600000000006</v>
      </c>
      <c r="E291" t="s">
        <v>116</v>
      </c>
      <c r="F291" s="2">
        <f t="shared" si="22"/>
        <v>728.77944000000014</v>
      </c>
      <c r="G291" s="2">
        <v>2.19</v>
      </c>
    </row>
    <row r="292" spans="1:14" hidden="1" x14ac:dyDescent="0.25">
      <c r="A292" t="s">
        <v>30</v>
      </c>
      <c r="B292" t="s">
        <v>31</v>
      </c>
      <c r="C292" s="1">
        <v>3327.76</v>
      </c>
      <c r="D292" s="1">
        <v>33277.600000000006</v>
      </c>
      <c r="E292" s="4" t="s">
        <v>96</v>
      </c>
      <c r="F292" s="2">
        <f t="shared" si="22"/>
        <v>1084.8497600000001</v>
      </c>
      <c r="G292" s="2">
        <v>3.26</v>
      </c>
      <c r="N292" s="2"/>
    </row>
    <row r="293" spans="1:14" x14ac:dyDescent="0.25">
      <c r="A293" t="str">
        <f>A292</f>
        <v>UL LIFE DIVERSIFIED EQUITY FUND</v>
      </c>
      <c r="B293" t="s">
        <v>31</v>
      </c>
      <c r="C293" s="1">
        <v>3327.76</v>
      </c>
      <c r="D293" s="1">
        <v>33277.600000000006</v>
      </c>
      <c r="E293" s="4" t="s">
        <v>8</v>
      </c>
      <c r="F293" s="2">
        <f ca="1">SUMIF(A:A,M293,F:F)</f>
        <v>12655.471280000002</v>
      </c>
      <c r="G293" s="2">
        <f ca="1">SUMIF(A:A,M293,G:G)</f>
        <v>38.029999999999994</v>
      </c>
      <c r="I293" s="2">
        <f ca="1">(D293*J293)/100</f>
        <v>20622.128720000008</v>
      </c>
      <c r="J293" s="2">
        <f ca="1">100-G293</f>
        <v>61.970000000000006</v>
      </c>
      <c r="K293" s="2">
        <f>D293/1000</f>
        <v>33.277600000000007</v>
      </c>
      <c r="M293" t="str">
        <f>A292</f>
        <v>UL LIFE DIVERSIFIED EQUITY FUND</v>
      </c>
    </row>
    <row r="294" spans="1:14" hidden="1" x14ac:dyDescent="0.25"/>
    <row r="295" spans="1:14" hidden="1" x14ac:dyDescent="0.25">
      <c r="A295" t="s">
        <v>32</v>
      </c>
      <c r="B295" t="s">
        <v>33</v>
      </c>
      <c r="C295" s="2">
        <v>108.55</v>
      </c>
      <c r="D295" s="1">
        <v>1085.5</v>
      </c>
      <c r="E295" s="4" t="s">
        <v>96</v>
      </c>
      <c r="F295" s="2">
        <f>(D295*G295)/100</f>
        <v>1085.5</v>
      </c>
      <c r="G295" s="2">
        <v>100</v>
      </c>
      <c r="N295" s="2"/>
    </row>
    <row r="296" spans="1:14" x14ac:dyDescent="0.25">
      <c r="A296" t="str">
        <f>A295</f>
        <v>UL MONEY MARKET II FUND</v>
      </c>
      <c r="B296" t="s">
        <v>33</v>
      </c>
      <c r="C296" s="2">
        <v>108.55</v>
      </c>
      <c r="D296" s="1">
        <v>1085.5</v>
      </c>
      <c r="E296" s="4" t="s">
        <v>8</v>
      </c>
      <c r="F296" s="2">
        <f ca="1">SUMIF(A:A,M296,F:F)</f>
        <v>1085.5</v>
      </c>
      <c r="G296" s="2">
        <f ca="1">SUMIF(A:A,M296,G:G)</f>
        <v>100</v>
      </c>
      <c r="I296" s="2">
        <f ca="1">(D296*J296)/100</f>
        <v>0</v>
      </c>
      <c r="J296" s="2">
        <f ca="1">100-G296</f>
        <v>0</v>
      </c>
      <c r="K296" s="2">
        <f>D296/1000</f>
        <v>1.0854999999999999</v>
      </c>
      <c r="M296" t="str">
        <f>A295</f>
        <v>UL MONEY MARKET II FUND</v>
      </c>
    </row>
    <row r="297" spans="1:14" hidden="1" x14ac:dyDescent="0.25"/>
    <row r="298" spans="1:14" hidden="1" x14ac:dyDescent="0.25">
      <c r="A298" t="s">
        <v>34</v>
      </c>
      <c r="B298" t="s">
        <v>35</v>
      </c>
      <c r="C298" s="2">
        <v>600.80999999999995</v>
      </c>
      <c r="D298" s="1">
        <v>6008.0999999999995</v>
      </c>
      <c r="E298" s="4" t="s">
        <v>93</v>
      </c>
      <c r="N298" s="2"/>
    </row>
    <row r="299" spans="1:14" hidden="1" x14ac:dyDescent="0.25">
      <c r="A299" t="s">
        <v>34</v>
      </c>
      <c r="B299" t="s">
        <v>35</v>
      </c>
      <c r="C299" s="2">
        <v>600.80999999999995</v>
      </c>
      <c r="D299" s="1">
        <v>6008.0999999999995</v>
      </c>
      <c r="E299" t="s">
        <v>2</v>
      </c>
      <c r="F299" s="2">
        <f t="shared" ref="F299:F309" si="23">(D299*G299)/100</f>
        <v>436.78887000000003</v>
      </c>
      <c r="G299" s="2">
        <v>7.2700000000000005</v>
      </c>
    </row>
    <row r="300" spans="1:14" hidden="1" x14ac:dyDescent="0.25">
      <c r="A300" t="s">
        <v>34</v>
      </c>
      <c r="B300" t="s">
        <v>35</v>
      </c>
      <c r="C300" s="2">
        <v>600.80999999999995</v>
      </c>
      <c r="D300" s="1">
        <v>6008.0999999999995</v>
      </c>
      <c r="E300" t="s">
        <v>4</v>
      </c>
      <c r="F300" s="2">
        <f t="shared" si="23"/>
        <v>349.67142000000001</v>
      </c>
      <c r="G300" s="2">
        <v>5.82</v>
      </c>
    </row>
    <row r="301" spans="1:14" hidden="1" x14ac:dyDescent="0.25">
      <c r="A301" t="s">
        <v>34</v>
      </c>
      <c r="B301" t="s">
        <v>35</v>
      </c>
      <c r="C301" s="2">
        <v>600.80999999999995</v>
      </c>
      <c r="D301" s="1">
        <v>6008.0999999999995</v>
      </c>
      <c r="E301" t="s">
        <v>5</v>
      </c>
      <c r="F301" s="2">
        <f t="shared" si="23"/>
        <v>311.82039000000003</v>
      </c>
      <c r="G301" s="2">
        <v>5.19</v>
      </c>
    </row>
    <row r="302" spans="1:14" hidden="1" x14ac:dyDescent="0.25">
      <c r="A302" t="s">
        <v>34</v>
      </c>
      <c r="B302" t="s">
        <v>35</v>
      </c>
      <c r="C302" s="2">
        <v>600.80999999999995</v>
      </c>
      <c r="D302" s="1">
        <v>6008.0999999999995</v>
      </c>
      <c r="E302" t="s">
        <v>87</v>
      </c>
      <c r="F302" s="2">
        <f t="shared" si="23"/>
        <v>302.20742999999993</v>
      </c>
      <c r="G302" s="2">
        <v>5.0299999999999994</v>
      </c>
    </row>
    <row r="303" spans="1:14" hidden="1" x14ac:dyDescent="0.25">
      <c r="A303" t="s">
        <v>34</v>
      </c>
      <c r="B303" t="s">
        <v>35</v>
      </c>
      <c r="C303" s="2">
        <v>600.80999999999995</v>
      </c>
      <c r="D303" s="1">
        <v>6008.0999999999995</v>
      </c>
      <c r="E303" t="s">
        <v>174</v>
      </c>
      <c r="F303" s="2">
        <f t="shared" si="23"/>
        <v>254.14262999999994</v>
      </c>
      <c r="G303" s="2">
        <v>4.2299999999999995</v>
      </c>
    </row>
    <row r="304" spans="1:14" hidden="1" x14ac:dyDescent="0.25">
      <c r="A304" t="s">
        <v>34</v>
      </c>
      <c r="B304" t="s">
        <v>35</v>
      </c>
      <c r="C304" s="2">
        <v>600.80999999999995</v>
      </c>
      <c r="D304" s="1">
        <v>6008.0999999999995</v>
      </c>
      <c r="E304" t="s">
        <v>13</v>
      </c>
      <c r="F304" s="2">
        <f t="shared" si="23"/>
        <v>245.73128999999997</v>
      </c>
      <c r="G304" s="2">
        <v>4.09</v>
      </c>
    </row>
    <row r="305" spans="1:14" hidden="1" x14ac:dyDescent="0.25">
      <c r="A305" t="s">
        <v>34</v>
      </c>
      <c r="B305" t="s">
        <v>35</v>
      </c>
      <c r="C305" s="2">
        <v>600.80999999999995</v>
      </c>
      <c r="D305" s="1">
        <v>6008.0999999999995</v>
      </c>
      <c r="E305" t="s">
        <v>149</v>
      </c>
      <c r="F305" s="2">
        <f t="shared" si="23"/>
        <v>192.86000999999996</v>
      </c>
      <c r="G305" s="2">
        <v>3.2099999999999995</v>
      </c>
    </row>
    <row r="306" spans="1:14" hidden="1" x14ac:dyDescent="0.25">
      <c r="A306" t="s">
        <v>34</v>
      </c>
      <c r="B306" t="s">
        <v>35</v>
      </c>
      <c r="C306" s="2">
        <v>600.80999999999995</v>
      </c>
      <c r="D306" s="1">
        <v>6008.0999999999995</v>
      </c>
      <c r="E306" t="s">
        <v>189</v>
      </c>
      <c r="F306" s="2">
        <f t="shared" si="23"/>
        <v>183.84786</v>
      </c>
      <c r="G306" s="2">
        <v>3.06</v>
      </c>
    </row>
    <row r="307" spans="1:14" hidden="1" x14ac:dyDescent="0.25">
      <c r="A307" t="s">
        <v>34</v>
      </c>
      <c r="B307" t="s">
        <v>35</v>
      </c>
      <c r="C307" s="2">
        <v>600.80999999999995</v>
      </c>
      <c r="D307" s="1">
        <v>6008.0999999999995</v>
      </c>
      <c r="E307" t="s">
        <v>190</v>
      </c>
      <c r="F307" s="2">
        <f t="shared" si="23"/>
        <v>156.2106</v>
      </c>
      <c r="G307" s="2">
        <v>2.6</v>
      </c>
    </row>
    <row r="308" spans="1:14" hidden="1" x14ac:dyDescent="0.25">
      <c r="A308" t="s">
        <v>34</v>
      </c>
      <c r="B308" t="s">
        <v>35</v>
      </c>
      <c r="C308" s="2">
        <v>600.80999999999995</v>
      </c>
      <c r="D308" s="1">
        <v>6008.0999999999995</v>
      </c>
      <c r="E308" t="s">
        <v>6</v>
      </c>
      <c r="F308" s="2">
        <f t="shared" si="23"/>
        <v>151.40411999999998</v>
      </c>
      <c r="G308" s="2">
        <v>2.52</v>
      </c>
    </row>
    <row r="309" spans="1:14" hidden="1" x14ac:dyDescent="0.25">
      <c r="A309" t="s">
        <v>34</v>
      </c>
      <c r="B309" t="s">
        <v>35</v>
      </c>
      <c r="C309" s="2">
        <v>600.80999999999995</v>
      </c>
      <c r="D309" s="1">
        <v>6008.0999999999995</v>
      </c>
      <c r="E309" s="4" t="s">
        <v>96</v>
      </c>
      <c r="F309" s="2">
        <f t="shared" si="23"/>
        <v>275.17097999999999</v>
      </c>
      <c r="G309" s="2">
        <v>4.58</v>
      </c>
      <c r="N309" s="2"/>
    </row>
    <row r="310" spans="1:14" x14ac:dyDescent="0.25">
      <c r="A310" t="str">
        <f>A309</f>
        <v>UL SUSTAINABLE EQUITY FUND</v>
      </c>
      <c r="B310" t="s">
        <v>35</v>
      </c>
      <c r="C310" s="2">
        <v>600.80999999999995</v>
      </c>
      <c r="D310" s="1">
        <v>6008.0999999999995</v>
      </c>
      <c r="E310" s="4" t="s">
        <v>8</v>
      </c>
      <c r="F310" s="2">
        <f ca="1">SUMIF(A:A,M310,F:F)</f>
        <v>2859.8555999999999</v>
      </c>
      <c r="G310" s="2">
        <f ca="1">SUMIF(A:A,M310,G:G)</f>
        <v>47.600000000000009</v>
      </c>
      <c r="I310" s="2">
        <f ca="1">(D310*J310)/100</f>
        <v>3148.2443999999996</v>
      </c>
      <c r="J310" s="2">
        <f ca="1">100-G310</f>
        <v>52.399999999999991</v>
      </c>
      <c r="K310" s="2">
        <f>D310/1000</f>
        <v>6.0080999999999998</v>
      </c>
      <c r="M310" t="str">
        <f>A309</f>
        <v>UL SUSTAINABLE EQUITY FUND</v>
      </c>
    </row>
    <row r="311" spans="1:14" hidden="1" x14ac:dyDescent="0.25">
      <c r="C311" s="2"/>
    </row>
    <row r="312" spans="1:14" hidden="1" x14ac:dyDescent="0.25">
      <c r="A312" t="s">
        <v>36</v>
      </c>
      <c r="B312" t="s">
        <v>37</v>
      </c>
      <c r="C312" s="2">
        <v>469.73</v>
      </c>
      <c r="D312" s="1">
        <v>4697.3</v>
      </c>
      <c r="E312" s="4" t="s">
        <v>93</v>
      </c>
      <c r="N312" s="2"/>
    </row>
    <row r="313" spans="1:14" hidden="1" x14ac:dyDescent="0.25">
      <c r="A313" t="s">
        <v>36</v>
      </c>
      <c r="B313" t="s">
        <v>37</v>
      </c>
      <c r="C313" s="2">
        <v>469.73</v>
      </c>
      <c r="D313" s="1">
        <v>4697.3</v>
      </c>
      <c r="E313" t="s">
        <v>191</v>
      </c>
      <c r="F313" s="2">
        <f t="shared" ref="F313:F323" si="24">(D313*G313)/100</f>
        <v>220.7731</v>
      </c>
      <c r="G313" s="2">
        <v>4.7</v>
      </c>
    </row>
    <row r="314" spans="1:14" hidden="1" x14ac:dyDescent="0.25">
      <c r="A314" t="s">
        <v>36</v>
      </c>
      <c r="B314" t="s">
        <v>37</v>
      </c>
      <c r="C314" s="2">
        <v>469.73</v>
      </c>
      <c r="D314" s="1">
        <v>4697.3</v>
      </c>
      <c r="E314" t="s">
        <v>150</v>
      </c>
      <c r="F314" s="2">
        <f t="shared" si="24"/>
        <v>217.01526000000001</v>
      </c>
      <c r="G314" s="2">
        <v>4.62</v>
      </c>
    </row>
    <row r="315" spans="1:14" hidden="1" x14ac:dyDescent="0.25">
      <c r="A315" t="s">
        <v>36</v>
      </c>
      <c r="B315" t="s">
        <v>37</v>
      </c>
      <c r="C315" s="2">
        <v>469.73</v>
      </c>
      <c r="D315" s="1">
        <v>4697.3</v>
      </c>
      <c r="E315" t="s">
        <v>190</v>
      </c>
      <c r="F315" s="2">
        <f t="shared" si="24"/>
        <v>215.60607000000005</v>
      </c>
      <c r="G315" s="2">
        <v>4.5900000000000007</v>
      </c>
    </row>
    <row r="316" spans="1:14" hidden="1" x14ac:dyDescent="0.25">
      <c r="A316" t="s">
        <v>36</v>
      </c>
      <c r="B316" t="s">
        <v>37</v>
      </c>
      <c r="C316" s="2">
        <v>469.73</v>
      </c>
      <c r="D316" s="1">
        <v>4697.3</v>
      </c>
      <c r="E316" t="s">
        <v>6</v>
      </c>
      <c r="F316" s="2">
        <f t="shared" si="24"/>
        <v>195.40768</v>
      </c>
      <c r="G316" s="2">
        <v>4.16</v>
      </c>
    </row>
    <row r="317" spans="1:14" hidden="1" x14ac:dyDescent="0.25">
      <c r="A317" t="s">
        <v>36</v>
      </c>
      <c r="B317" t="s">
        <v>37</v>
      </c>
      <c r="C317" s="2">
        <v>469.73</v>
      </c>
      <c r="D317" s="1">
        <v>4697.3</v>
      </c>
      <c r="E317" t="s">
        <v>188</v>
      </c>
      <c r="F317" s="2">
        <f t="shared" si="24"/>
        <v>178.49740000000003</v>
      </c>
      <c r="G317" s="2">
        <v>3.8</v>
      </c>
    </row>
    <row r="318" spans="1:14" hidden="1" x14ac:dyDescent="0.25">
      <c r="A318" t="s">
        <v>36</v>
      </c>
      <c r="B318" t="s">
        <v>37</v>
      </c>
      <c r="C318" s="2">
        <v>469.73</v>
      </c>
      <c r="D318" s="1">
        <v>4697.3</v>
      </c>
      <c r="E318" t="s">
        <v>151</v>
      </c>
      <c r="F318" s="2">
        <f t="shared" si="24"/>
        <v>149.84387000000001</v>
      </c>
      <c r="G318" s="2">
        <v>3.19</v>
      </c>
    </row>
    <row r="319" spans="1:14" hidden="1" x14ac:dyDescent="0.25">
      <c r="A319" t="s">
        <v>36</v>
      </c>
      <c r="B319" t="s">
        <v>37</v>
      </c>
      <c r="C319" s="2">
        <v>469.73</v>
      </c>
      <c r="D319" s="1">
        <v>4697.3</v>
      </c>
      <c r="E319" t="s">
        <v>319</v>
      </c>
      <c r="F319" s="2">
        <f t="shared" si="24"/>
        <v>132.46386000000001</v>
      </c>
      <c r="G319" s="2">
        <v>2.82</v>
      </c>
    </row>
    <row r="320" spans="1:14" hidden="1" x14ac:dyDescent="0.25">
      <c r="A320" t="s">
        <v>36</v>
      </c>
      <c r="B320" t="s">
        <v>37</v>
      </c>
      <c r="C320" s="2">
        <v>469.73</v>
      </c>
      <c r="D320" s="1">
        <v>4697.3</v>
      </c>
      <c r="E320" t="s">
        <v>192</v>
      </c>
      <c r="F320" s="2">
        <f t="shared" si="24"/>
        <v>121.66006999999999</v>
      </c>
      <c r="G320" s="2">
        <v>2.59</v>
      </c>
    </row>
    <row r="321" spans="1:14" hidden="1" x14ac:dyDescent="0.25">
      <c r="A321" t="s">
        <v>36</v>
      </c>
      <c r="B321" t="s">
        <v>37</v>
      </c>
      <c r="C321" s="2">
        <v>469.73</v>
      </c>
      <c r="D321" s="1">
        <v>4697.3</v>
      </c>
      <c r="E321" t="s">
        <v>174</v>
      </c>
      <c r="F321" s="2">
        <f t="shared" si="24"/>
        <v>118.37196</v>
      </c>
      <c r="G321" s="2">
        <v>2.52</v>
      </c>
    </row>
    <row r="322" spans="1:14" hidden="1" x14ac:dyDescent="0.25">
      <c r="A322" t="s">
        <v>36</v>
      </c>
      <c r="B322" t="s">
        <v>37</v>
      </c>
      <c r="C322" s="2">
        <v>469.73</v>
      </c>
      <c r="D322" s="1">
        <v>4697.3</v>
      </c>
      <c r="E322" t="s">
        <v>193</v>
      </c>
      <c r="F322" s="2">
        <f t="shared" si="24"/>
        <v>111.32601000000001</v>
      </c>
      <c r="G322" s="2">
        <v>2.37</v>
      </c>
    </row>
    <row r="323" spans="1:14" hidden="1" x14ac:dyDescent="0.25">
      <c r="A323" t="s">
        <v>36</v>
      </c>
      <c r="B323" t="s">
        <v>37</v>
      </c>
      <c r="C323" s="2">
        <v>469.73</v>
      </c>
      <c r="D323" s="1">
        <v>4697.3</v>
      </c>
      <c r="E323" s="4" t="s">
        <v>96</v>
      </c>
      <c r="F323" s="2">
        <f t="shared" si="24"/>
        <v>139.97953999999999</v>
      </c>
      <c r="G323" s="2">
        <v>2.98</v>
      </c>
      <c r="N323" s="2"/>
    </row>
    <row r="324" spans="1:14" x14ac:dyDescent="0.25">
      <c r="A324" t="str">
        <f>A323</f>
        <v>UL PURE GROWTH FUND</v>
      </c>
      <c r="B324" t="s">
        <v>37</v>
      </c>
      <c r="C324" s="2">
        <v>469.73</v>
      </c>
      <c r="D324" s="1">
        <v>4697.3</v>
      </c>
      <c r="E324" s="4" t="s">
        <v>8</v>
      </c>
      <c r="F324" s="2">
        <f ca="1">SUMIF(A:A,M324,F:F)</f>
        <v>1800.9448199999999</v>
      </c>
      <c r="G324" s="2">
        <f ca="1">SUMIF(A:A,M324,G:G)</f>
        <v>38.339999999999996</v>
      </c>
      <c r="I324" s="2">
        <f ca="1">(D324*J324)/100</f>
        <v>2896.3551800000005</v>
      </c>
      <c r="J324" s="2">
        <f ca="1">100-G324</f>
        <v>61.660000000000004</v>
      </c>
      <c r="K324" s="2">
        <f>D324/1000</f>
        <v>4.6973000000000003</v>
      </c>
      <c r="M324" t="str">
        <f>A323</f>
        <v>UL PURE GROWTH FUND</v>
      </c>
    </row>
    <row r="325" spans="1:14" hidden="1" x14ac:dyDescent="0.25"/>
    <row r="326" spans="1:14" hidden="1" x14ac:dyDescent="0.25">
      <c r="A326" t="s">
        <v>38</v>
      </c>
      <c r="B326" t="s">
        <v>39</v>
      </c>
      <c r="C326" s="2">
        <v>36.25</v>
      </c>
      <c r="D326" s="1">
        <v>362.5</v>
      </c>
      <c r="E326" s="4" t="s">
        <v>117</v>
      </c>
      <c r="N326" s="2"/>
    </row>
    <row r="327" spans="1:14" hidden="1" x14ac:dyDescent="0.25">
      <c r="A327" t="s">
        <v>38</v>
      </c>
      <c r="B327" t="s">
        <v>39</v>
      </c>
      <c r="C327" s="2">
        <v>36.25</v>
      </c>
      <c r="D327" s="1">
        <v>362.5</v>
      </c>
      <c r="E327" s="2" t="s">
        <v>121</v>
      </c>
      <c r="F327" s="2">
        <f t="shared" ref="F327:F336" si="25">(D327*G327)/100</f>
        <v>89.9</v>
      </c>
      <c r="G327" s="2">
        <v>24.8</v>
      </c>
    </row>
    <row r="328" spans="1:14" hidden="1" x14ac:dyDescent="0.25">
      <c r="A328" t="s">
        <v>38</v>
      </c>
      <c r="B328" t="s">
        <v>39</v>
      </c>
      <c r="C328" s="2">
        <v>36.25</v>
      </c>
      <c r="D328" s="1">
        <v>362.5</v>
      </c>
      <c r="E328" s="2" t="s">
        <v>118</v>
      </c>
      <c r="F328" s="2">
        <f t="shared" si="25"/>
        <v>86.746250000000003</v>
      </c>
      <c r="G328" s="2">
        <v>23.93</v>
      </c>
    </row>
    <row r="329" spans="1:14" hidden="1" x14ac:dyDescent="0.25">
      <c r="A329" t="s">
        <v>38</v>
      </c>
      <c r="B329" t="s">
        <v>39</v>
      </c>
      <c r="C329" s="2">
        <v>36.25</v>
      </c>
      <c r="D329" s="1">
        <v>362.5</v>
      </c>
      <c r="E329" s="2" t="s">
        <v>194</v>
      </c>
      <c r="F329" s="2">
        <f t="shared" si="25"/>
        <v>10.077499999999999</v>
      </c>
      <c r="G329" s="2">
        <v>2.78</v>
      </c>
    </row>
    <row r="330" spans="1:14" hidden="1" x14ac:dyDescent="0.25">
      <c r="A330" t="s">
        <v>38</v>
      </c>
      <c r="B330" t="s">
        <v>39</v>
      </c>
      <c r="C330" s="2">
        <v>36.25</v>
      </c>
      <c r="D330" s="1">
        <v>362.5</v>
      </c>
      <c r="E330" s="2" t="s">
        <v>123</v>
      </c>
      <c r="F330" s="2">
        <f t="shared" si="25"/>
        <v>7.4312500000000012</v>
      </c>
      <c r="G330" s="2">
        <v>2.0500000000000003</v>
      </c>
    </row>
    <row r="331" spans="1:14" hidden="1" x14ac:dyDescent="0.25">
      <c r="A331" t="s">
        <v>38</v>
      </c>
      <c r="B331" t="s">
        <v>39</v>
      </c>
      <c r="C331" s="2">
        <v>36.25</v>
      </c>
      <c r="D331" s="1">
        <v>362.5</v>
      </c>
      <c r="E331" s="2" t="s">
        <v>195</v>
      </c>
      <c r="F331" s="2">
        <f t="shared" si="25"/>
        <v>5.1475</v>
      </c>
      <c r="G331" s="2">
        <v>1.4200000000000002</v>
      </c>
    </row>
    <row r="332" spans="1:14" hidden="1" x14ac:dyDescent="0.25">
      <c r="A332" t="s">
        <v>38</v>
      </c>
      <c r="B332" t="s">
        <v>39</v>
      </c>
      <c r="C332" s="2">
        <v>36.25</v>
      </c>
      <c r="D332" s="1">
        <v>362.5</v>
      </c>
      <c r="E332" s="2" t="s">
        <v>168</v>
      </c>
      <c r="F332" s="2">
        <f t="shared" si="25"/>
        <v>3.5162499999999999</v>
      </c>
      <c r="G332" s="2">
        <v>0.97</v>
      </c>
    </row>
    <row r="333" spans="1:14" hidden="1" x14ac:dyDescent="0.25">
      <c r="A333" t="s">
        <v>38</v>
      </c>
      <c r="B333" t="s">
        <v>39</v>
      </c>
      <c r="C333" s="2">
        <v>36.25</v>
      </c>
      <c r="D333" s="1">
        <v>362.5</v>
      </c>
      <c r="E333" s="2" t="s">
        <v>176</v>
      </c>
      <c r="F333" s="2">
        <f t="shared" si="25"/>
        <v>3.1537499999999996</v>
      </c>
      <c r="G333" s="2">
        <v>0.86999999999999988</v>
      </c>
    </row>
    <row r="334" spans="1:14" hidden="1" x14ac:dyDescent="0.25">
      <c r="A334" t="s">
        <v>38</v>
      </c>
      <c r="B334" t="s">
        <v>39</v>
      </c>
      <c r="C334" s="2">
        <v>36.25</v>
      </c>
      <c r="D334" s="1">
        <v>362.5</v>
      </c>
      <c r="E334" s="2" t="s">
        <v>196</v>
      </c>
      <c r="F334" s="2">
        <f t="shared" si="25"/>
        <v>2.5375000000000001</v>
      </c>
      <c r="G334" s="2">
        <v>0.70000000000000007</v>
      </c>
    </row>
    <row r="335" spans="1:14" hidden="1" x14ac:dyDescent="0.25">
      <c r="A335" t="s">
        <v>38</v>
      </c>
      <c r="B335" t="s">
        <v>39</v>
      </c>
      <c r="C335" s="2">
        <v>36.25</v>
      </c>
      <c r="D335" s="1">
        <v>362.5</v>
      </c>
      <c r="E335" s="2" t="s">
        <v>197</v>
      </c>
      <c r="F335" s="2">
        <f t="shared" si="25"/>
        <v>0.68874999999999997</v>
      </c>
      <c r="G335" s="2">
        <v>0.19</v>
      </c>
    </row>
    <row r="336" spans="1:14" hidden="1" x14ac:dyDescent="0.25">
      <c r="A336" t="s">
        <v>38</v>
      </c>
      <c r="B336" t="s">
        <v>39</v>
      </c>
      <c r="C336" s="2">
        <v>36.25</v>
      </c>
      <c r="D336" s="1">
        <v>362.5</v>
      </c>
      <c r="E336" s="2" t="s">
        <v>141</v>
      </c>
      <c r="F336" s="2">
        <f t="shared" si="25"/>
        <v>0.54374999999999996</v>
      </c>
      <c r="G336" s="2">
        <v>0.15</v>
      </c>
    </row>
    <row r="337" spans="1:14" hidden="1" x14ac:dyDescent="0.25">
      <c r="A337" t="s">
        <v>38</v>
      </c>
      <c r="B337" t="s">
        <v>39</v>
      </c>
      <c r="C337" s="2">
        <v>36.25</v>
      </c>
      <c r="D337" s="1">
        <v>362.5</v>
      </c>
      <c r="E337" s="4" t="s">
        <v>126</v>
      </c>
    </row>
    <row r="338" spans="1:14" hidden="1" x14ac:dyDescent="0.25">
      <c r="A338" t="s">
        <v>38</v>
      </c>
      <c r="B338" t="s">
        <v>39</v>
      </c>
      <c r="C338" s="2">
        <v>36.25</v>
      </c>
      <c r="D338" s="1">
        <v>362.5</v>
      </c>
      <c r="E338" s="2" t="s">
        <v>143</v>
      </c>
      <c r="F338" s="2">
        <f t="shared" ref="F338:F348" si="26">(D338*G338)/100</f>
        <v>25.483750000000001</v>
      </c>
      <c r="G338" s="2">
        <v>7.03</v>
      </c>
    </row>
    <row r="339" spans="1:14" hidden="1" x14ac:dyDescent="0.25">
      <c r="A339" t="s">
        <v>38</v>
      </c>
      <c r="B339" t="s">
        <v>39</v>
      </c>
      <c r="C339" s="2">
        <v>36.25</v>
      </c>
      <c r="D339" s="1">
        <v>362.5</v>
      </c>
      <c r="E339" s="2" t="s">
        <v>132</v>
      </c>
      <c r="F339" s="2">
        <f t="shared" si="26"/>
        <v>20.263750000000002</v>
      </c>
      <c r="G339" s="2">
        <v>5.59</v>
      </c>
    </row>
    <row r="340" spans="1:14" hidden="1" x14ac:dyDescent="0.25">
      <c r="A340" t="s">
        <v>38</v>
      </c>
      <c r="B340" t="s">
        <v>39</v>
      </c>
      <c r="C340" s="2">
        <v>36.25</v>
      </c>
      <c r="D340" s="1">
        <v>362.5</v>
      </c>
      <c r="E340" s="2" t="s">
        <v>127</v>
      </c>
      <c r="F340" s="2">
        <f t="shared" si="26"/>
        <v>16.965</v>
      </c>
      <c r="G340" s="2">
        <v>4.68</v>
      </c>
    </row>
    <row r="341" spans="1:14" hidden="1" x14ac:dyDescent="0.25">
      <c r="A341" t="s">
        <v>38</v>
      </c>
      <c r="B341" t="s">
        <v>39</v>
      </c>
      <c r="C341" s="2">
        <v>36.25</v>
      </c>
      <c r="D341" s="1">
        <v>362.5</v>
      </c>
      <c r="E341" s="2" t="s">
        <v>133</v>
      </c>
      <c r="F341" s="2">
        <f t="shared" si="26"/>
        <v>14.898749999999998</v>
      </c>
      <c r="G341" s="2">
        <v>4.1099999999999994</v>
      </c>
    </row>
    <row r="342" spans="1:14" hidden="1" x14ac:dyDescent="0.25">
      <c r="A342" t="s">
        <v>38</v>
      </c>
      <c r="B342" t="s">
        <v>39</v>
      </c>
      <c r="C342" s="2">
        <v>36.25</v>
      </c>
      <c r="D342" s="1">
        <v>362.5</v>
      </c>
      <c r="E342" s="2" t="s">
        <v>145</v>
      </c>
      <c r="F342" s="2">
        <f t="shared" si="26"/>
        <v>9.96875</v>
      </c>
      <c r="G342" s="2">
        <v>2.75</v>
      </c>
    </row>
    <row r="343" spans="1:14" hidden="1" x14ac:dyDescent="0.25">
      <c r="A343" t="s">
        <v>38</v>
      </c>
      <c r="B343" t="s">
        <v>39</v>
      </c>
      <c r="C343" s="2">
        <v>36.25</v>
      </c>
      <c r="D343" s="1">
        <v>362.5</v>
      </c>
      <c r="E343" s="2" t="s">
        <v>198</v>
      </c>
      <c r="F343" s="2">
        <f t="shared" si="26"/>
        <v>6.8512500000000003</v>
      </c>
      <c r="G343" s="2">
        <v>1.8900000000000001</v>
      </c>
    </row>
    <row r="344" spans="1:14" hidden="1" x14ac:dyDescent="0.25">
      <c r="A344" t="s">
        <v>38</v>
      </c>
      <c r="B344" t="s">
        <v>39</v>
      </c>
      <c r="C344" s="2">
        <v>36.25</v>
      </c>
      <c r="D344" s="1">
        <v>362.5</v>
      </c>
      <c r="E344" s="2" t="s">
        <v>199</v>
      </c>
      <c r="F344" s="2">
        <f t="shared" si="26"/>
        <v>5.0750000000000002</v>
      </c>
      <c r="G344" s="2">
        <v>1.4000000000000001</v>
      </c>
    </row>
    <row r="345" spans="1:14" hidden="1" x14ac:dyDescent="0.25">
      <c r="A345" t="s">
        <v>38</v>
      </c>
      <c r="B345" t="s">
        <v>39</v>
      </c>
      <c r="C345" s="2">
        <v>36.25</v>
      </c>
      <c r="D345" s="1">
        <v>362.5</v>
      </c>
      <c r="E345" s="2" t="s">
        <v>178</v>
      </c>
      <c r="F345" s="2">
        <f t="shared" si="26"/>
        <v>5.0750000000000002</v>
      </c>
      <c r="G345" s="2">
        <v>1.4000000000000001</v>
      </c>
    </row>
    <row r="346" spans="1:14" hidden="1" x14ac:dyDescent="0.25">
      <c r="A346" t="s">
        <v>38</v>
      </c>
      <c r="B346" t="s">
        <v>39</v>
      </c>
      <c r="C346" s="2">
        <v>36.25</v>
      </c>
      <c r="D346" s="1">
        <v>362.5</v>
      </c>
      <c r="E346" s="2" t="s">
        <v>185</v>
      </c>
      <c r="F346" s="2">
        <f t="shared" si="26"/>
        <v>5.0024999999999995</v>
      </c>
      <c r="G346" s="2">
        <v>1.38</v>
      </c>
    </row>
    <row r="347" spans="1:14" hidden="1" x14ac:dyDescent="0.25">
      <c r="A347" t="s">
        <v>38</v>
      </c>
      <c r="B347" t="s">
        <v>39</v>
      </c>
      <c r="C347" s="2">
        <v>36.25</v>
      </c>
      <c r="D347" s="1">
        <v>362.5</v>
      </c>
      <c r="E347" s="2" t="s">
        <v>200</v>
      </c>
      <c r="F347" s="2">
        <f t="shared" si="26"/>
        <v>4.93</v>
      </c>
      <c r="G347" s="2">
        <v>1.3599999999999999</v>
      </c>
    </row>
    <row r="348" spans="1:14" hidden="1" x14ac:dyDescent="0.25">
      <c r="A348" t="s">
        <v>38</v>
      </c>
      <c r="B348" t="s">
        <v>39</v>
      </c>
      <c r="C348" s="2">
        <v>36.25</v>
      </c>
      <c r="D348" s="1">
        <v>362.5</v>
      </c>
      <c r="E348" s="4" t="s">
        <v>96</v>
      </c>
      <c r="F348" s="2">
        <f t="shared" si="26"/>
        <v>20.154999999999998</v>
      </c>
      <c r="G348" s="2">
        <v>5.56</v>
      </c>
      <c r="N348" s="2"/>
    </row>
    <row r="349" spans="1:14" x14ac:dyDescent="0.25">
      <c r="A349" t="str">
        <f>A348</f>
        <v>UL LIFE DYNAMIC BOND FUND</v>
      </c>
      <c r="B349" t="s">
        <v>39</v>
      </c>
      <c r="C349" s="2">
        <v>36.25</v>
      </c>
      <c r="D349" s="1">
        <v>362.5</v>
      </c>
      <c r="E349" s="4" t="s">
        <v>8</v>
      </c>
      <c r="F349" s="2">
        <f>SUM(F327:F348)</f>
        <v>344.41124999999994</v>
      </c>
      <c r="G349" s="2">
        <f>SUM(G327:G348)</f>
        <v>95.01</v>
      </c>
      <c r="I349" s="2">
        <f>(D349*J349)/100</f>
        <v>18.088749999999983</v>
      </c>
      <c r="J349" s="2">
        <f>100-G349</f>
        <v>4.9899999999999949</v>
      </c>
      <c r="K349" s="2">
        <f>D349/1000</f>
        <v>0.36249999999999999</v>
      </c>
      <c r="M349" t="str">
        <f>A348</f>
        <v>UL LIFE DYNAMIC BOND FUND</v>
      </c>
    </row>
    <row r="350" spans="1:14" hidden="1" x14ac:dyDescent="0.25"/>
    <row r="351" spans="1:14" hidden="1" x14ac:dyDescent="0.25">
      <c r="A351" t="s">
        <v>40</v>
      </c>
      <c r="B351" t="s">
        <v>41</v>
      </c>
      <c r="C351" s="1">
        <v>1191.53</v>
      </c>
      <c r="D351" s="1">
        <v>11915.3</v>
      </c>
      <c r="E351" s="4" t="s">
        <v>93</v>
      </c>
      <c r="N351" s="2"/>
    </row>
    <row r="352" spans="1:14" hidden="1" x14ac:dyDescent="0.25">
      <c r="A352" t="s">
        <v>40</v>
      </c>
      <c r="B352" t="s">
        <v>41</v>
      </c>
      <c r="C352" s="1">
        <v>1191.53</v>
      </c>
      <c r="D352" s="1">
        <v>11915.3</v>
      </c>
      <c r="E352" t="s">
        <v>201</v>
      </c>
      <c r="F352" s="2">
        <f t="shared" ref="F352:F362" si="27">(D352*G352)/100</f>
        <v>568.35980999999992</v>
      </c>
      <c r="G352" s="2">
        <v>4.7699999999999996</v>
      </c>
    </row>
    <row r="353" spans="1:14" hidden="1" x14ac:dyDescent="0.25">
      <c r="A353" t="s">
        <v>40</v>
      </c>
      <c r="B353" t="s">
        <v>41</v>
      </c>
      <c r="C353" s="1">
        <v>1191.53</v>
      </c>
      <c r="D353" s="1">
        <v>11915.3</v>
      </c>
      <c r="E353" t="s">
        <v>202</v>
      </c>
      <c r="F353" s="2">
        <f t="shared" si="27"/>
        <v>508.78331000000003</v>
      </c>
      <c r="G353" s="2">
        <v>4.2700000000000005</v>
      </c>
    </row>
    <row r="354" spans="1:14" hidden="1" x14ac:dyDescent="0.25">
      <c r="A354" t="s">
        <v>40</v>
      </c>
      <c r="B354" t="s">
        <v>41</v>
      </c>
      <c r="C354" s="1">
        <v>1191.53</v>
      </c>
      <c r="D354" s="1">
        <v>11915.3</v>
      </c>
      <c r="E354" t="s">
        <v>203</v>
      </c>
      <c r="F354" s="2">
        <f t="shared" si="27"/>
        <v>450.39834000000002</v>
      </c>
      <c r="G354" s="2">
        <v>3.7800000000000002</v>
      </c>
    </row>
    <row r="355" spans="1:14" hidden="1" x14ac:dyDescent="0.25">
      <c r="A355" t="s">
        <v>40</v>
      </c>
      <c r="B355" t="s">
        <v>41</v>
      </c>
      <c r="C355" s="1">
        <v>1191.53</v>
      </c>
      <c r="D355" s="1">
        <v>11915.3</v>
      </c>
      <c r="E355" t="s">
        <v>114</v>
      </c>
      <c r="F355" s="2">
        <f t="shared" si="27"/>
        <v>449.2068099999999</v>
      </c>
      <c r="G355" s="2">
        <v>3.7699999999999996</v>
      </c>
    </row>
    <row r="356" spans="1:14" hidden="1" x14ac:dyDescent="0.25">
      <c r="A356" t="s">
        <v>40</v>
      </c>
      <c r="B356" t="s">
        <v>41</v>
      </c>
      <c r="C356" s="1">
        <v>1191.53</v>
      </c>
      <c r="D356" s="1">
        <v>11915.3</v>
      </c>
      <c r="E356" t="s">
        <v>204</v>
      </c>
      <c r="F356" s="2">
        <f t="shared" si="27"/>
        <v>403.92867000000001</v>
      </c>
      <c r="G356" s="2">
        <v>3.39</v>
      </c>
    </row>
    <row r="357" spans="1:14" hidden="1" x14ac:dyDescent="0.25">
      <c r="A357" t="s">
        <v>40</v>
      </c>
      <c r="B357" t="s">
        <v>41</v>
      </c>
      <c r="C357" s="1">
        <v>1191.53</v>
      </c>
      <c r="D357" s="1">
        <v>11915.3</v>
      </c>
      <c r="E357" t="s">
        <v>205</v>
      </c>
      <c r="F357" s="2">
        <f t="shared" si="27"/>
        <v>390.82184000000001</v>
      </c>
      <c r="G357" s="2">
        <v>3.2800000000000002</v>
      </c>
    </row>
    <row r="358" spans="1:14" hidden="1" x14ac:dyDescent="0.25">
      <c r="A358" t="s">
        <v>40</v>
      </c>
      <c r="B358" t="s">
        <v>41</v>
      </c>
      <c r="C358" s="1">
        <v>1191.53</v>
      </c>
      <c r="D358" s="1">
        <v>11915.3</v>
      </c>
      <c r="E358" t="s">
        <v>206</v>
      </c>
      <c r="F358" s="2">
        <f t="shared" si="27"/>
        <v>382.48112999999989</v>
      </c>
      <c r="G358" s="2">
        <v>3.2099999999999995</v>
      </c>
    </row>
    <row r="359" spans="1:14" hidden="1" x14ac:dyDescent="0.25">
      <c r="A359" t="s">
        <v>40</v>
      </c>
      <c r="B359" t="s">
        <v>41</v>
      </c>
      <c r="C359" s="1">
        <v>1191.53</v>
      </c>
      <c r="D359" s="1">
        <v>11915.3</v>
      </c>
      <c r="E359" t="s">
        <v>207</v>
      </c>
      <c r="F359" s="2">
        <f t="shared" si="27"/>
        <v>381.28960000000001</v>
      </c>
      <c r="G359" s="2">
        <v>3.2</v>
      </c>
    </row>
    <row r="360" spans="1:14" hidden="1" x14ac:dyDescent="0.25">
      <c r="A360" t="s">
        <v>40</v>
      </c>
      <c r="B360" t="s">
        <v>41</v>
      </c>
      <c r="C360" s="1">
        <v>1191.53</v>
      </c>
      <c r="D360" s="1">
        <v>11915.3</v>
      </c>
      <c r="E360" t="s">
        <v>208</v>
      </c>
      <c r="F360" s="2">
        <f t="shared" si="27"/>
        <v>350.30981999999995</v>
      </c>
      <c r="G360" s="2">
        <v>2.94</v>
      </c>
    </row>
    <row r="361" spans="1:14" hidden="1" x14ac:dyDescent="0.25">
      <c r="A361" t="s">
        <v>40</v>
      </c>
      <c r="B361" t="s">
        <v>41</v>
      </c>
      <c r="C361" s="1">
        <v>1191.53</v>
      </c>
      <c r="D361" s="1">
        <v>11915.3</v>
      </c>
      <c r="E361" t="s">
        <v>209</v>
      </c>
      <c r="F361" s="2">
        <f t="shared" si="27"/>
        <v>327.67075</v>
      </c>
      <c r="G361" s="2">
        <v>2.75</v>
      </c>
    </row>
    <row r="362" spans="1:14" hidden="1" x14ac:dyDescent="0.25">
      <c r="A362" t="s">
        <v>40</v>
      </c>
      <c r="B362" t="s">
        <v>41</v>
      </c>
      <c r="C362" s="1">
        <v>1191.53</v>
      </c>
      <c r="D362" s="1">
        <v>11915.3</v>
      </c>
      <c r="E362" s="4" t="s">
        <v>96</v>
      </c>
      <c r="F362" s="2">
        <f t="shared" si="27"/>
        <v>32.171309999999998</v>
      </c>
      <c r="G362" s="2">
        <v>0.27</v>
      </c>
      <c r="N362" s="2"/>
    </row>
    <row r="363" spans="1:14" x14ac:dyDescent="0.25">
      <c r="A363" t="str">
        <f>A362</f>
        <v>NIFTY SMALLCAP QUALITY INDEX FUND</v>
      </c>
      <c r="B363" t="s">
        <v>41</v>
      </c>
      <c r="C363" s="1">
        <v>1191.53</v>
      </c>
      <c r="D363" s="1">
        <v>11915.3</v>
      </c>
      <c r="E363" s="4" t="s">
        <v>8</v>
      </c>
      <c r="F363" s="2">
        <f ca="1">SUMIF(A:A,M363,F:F)</f>
        <v>4245.4213899999995</v>
      </c>
      <c r="G363" s="2">
        <f ca="1">SUMIF(A:A,M363,G:G)</f>
        <v>35.630000000000003</v>
      </c>
      <c r="I363" s="2">
        <f ca="1">(D363*J363)/100</f>
        <v>7669.8786100000007</v>
      </c>
      <c r="J363" s="2">
        <f ca="1">100-G363</f>
        <v>64.37</v>
      </c>
      <c r="K363" s="2">
        <f>D363/1000</f>
        <v>11.915299999999998</v>
      </c>
      <c r="M363" t="str">
        <f>A362</f>
        <v>NIFTY SMALLCAP QUALITY INDEX FUND</v>
      </c>
    </row>
    <row r="364" spans="1:14" hidden="1" x14ac:dyDescent="0.25"/>
    <row r="365" spans="1:14" hidden="1" x14ac:dyDescent="0.25">
      <c r="A365" t="s">
        <v>42</v>
      </c>
      <c r="B365" t="s">
        <v>43</v>
      </c>
      <c r="C365" s="2">
        <v>1167.32</v>
      </c>
      <c r="D365" s="1">
        <v>11673.199999999999</v>
      </c>
      <c r="E365" s="4" t="s">
        <v>93</v>
      </c>
      <c r="N365" s="2"/>
    </row>
    <row r="366" spans="1:14" hidden="1" x14ac:dyDescent="0.25">
      <c r="A366" t="s">
        <v>42</v>
      </c>
      <c r="B366" t="s">
        <v>43</v>
      </c>
      <c r="C366" s="2">
        <v>1167.32</v>
      </c>
      <c r="D366" s="1">
        <v>11673.199999999999</v>
      </c>
      <c r="E366" t="s">
        <v>210</v>
      </c>
      <c r="F366" s="2">
        <f t="shared" ref="F366:F376" si="28">(D366*G366)/100</f>
        <v>698.0573599999999</v>
      </c>
      <c r="G366" s="2">
        <v>5.9799999999999995</v>
      </c>
    </row>
    <row r="367" spans="1:14" hidden="1" x14ac:dyDescent="0.25">
      <c r="A367" t="s">
        <v>42</v>
      </c>
      <c r="B367" t="s">
        <v>43</v>
      </c>
      <c r="C367" s="2">
        <v>1167.32</v>
      </c>
      <c r="D367" s="1">
        <v>11673.199999999999</v>
      </c>
      <c r="E367" t="s">
        <v>113</v>
      </c>
      <c r="F367" s="2">
        <f t="shared" si="28"/>
        <v>614.01031999999987</v>
      </c>
      <c r="G367" s="2">
        <v>5.26</v>
      </c>
    </row>
    <row r="368" spans="1:14" hidden="1" x14ac:dyDescent="0.25">
      <c r="A368" t="s">
        <v>42</v>
      </c>
      <c r="B368" t="s">
        <v>43</v>
      </c>
      <c r="C368" s="2">
        <v>1167.32</v>
      </c>
      <c r="D368" s="1">
        <v>11673.199999999999</v>
      </c>
      <c r="E368" t="s">
        <v>211</v>
      </c>
      <c r="F368" s="2">
        <f t="shared" si="28"/>
        <v>549.80772000000002</v>
      </c>
      <c r="G368" s="2">
        <v>4.71</v>
      </c>
    </row>
    <row r="369" spans="1:14" hidden="1" x14ac:dyDescent="0.25">
      <c r="A369" t="s">
        <v>42</v>
      </c>
      <c r="B369" t="s">
        <v>43</v>
      </c>
      <c r="C369" s="2">
        <v>1167.32</v>
      </c>
      <c r="D369" s="1">
        <v>11673.199999999999</v>
      </c>
      <c r="E369" t="s">
        <v>110</v>
      </c>
      <c r="F369" s="2">
        <f t="shared" si="28"/>
        <v>455.25479999999993</v>
      </c>
      <c r="G369" s="2">
        <v>3.9</v>
      </c>
    </row>
    <row r="370" spans="1:14" hidden="1" x14ac:dyDescent="0.25">
      <c r="A370" t="s">
        <v>42</v>
      </c>
      <c r="B370" t="s">
        <v>43</v>
      </c>
      <c r="C370" s="2">
        <v>1167.32</v>
      </c>
      <c r="D370" s="1">
        <v>11673.199999999999</v>
      </c>
      <c r="E370" t="s">
        <v>150</v>
      </c>
      <c r="F370" s="2">
        <f t="shared" si="28"/>
        <v>429.57375999999988</v>
      </c>
      <c r="G370" s="2">
        <v>3.6799999999999997</v>
      </c>
    </row>
    <row r="371" spans="1:14" hidden="1" x14ac:dyDescent="0.25">
      <c r="A371" t="s">
        <v>42</v>
      </c>
      <c r="B371" t="s">
        <v>43</v>
      </c>
      <c r="C371" s="2">
        <v>1167.32</v>
      </c>
      <c r="D371" s="1">
        <v>11673.199999999999</v>
      </c>
      <c r="E371" t="s">
        <v>155</v>
      </c>
      <c r="F371" s="2">
        <f t="shared" si="28"/>
        <v>420.23519999999991</v>
      </c>
      <c r="G371" s="2">
        <v>3.5999999999999996</v>
      </c>
    </row>
    <row r="372" spans="1:14" hidden="1" x14ac:dyDescent="0.25">
      <c r="A372" t="s">
        <v>42</v>
      </c>
      <c r="B372" t="s">
        <v>43</v>
      </c>
      <c r="C372" s="2">
        <v>1167.32</v>
      </c>
      <c r="D372" s="1">
        <v>11673.199999999999</v>
      </c>
      <c r="E372" t="s">
        <v>212</v>
      </c>
      <c r="F372" s="2">
        <f t="shared" si="28"/>
        <v>420.23519999999991</v>
      </c>
      <c r="G372" s="2">
        <v>3.5999999999999996</v>
      </c>
    </row>
    <row r="373" spans="1:14" hidden="1" x14ac:dyDescent="0.25">
      <c r="A373" t="s">
        <v>42</v>
      </c>
      <c r="B373" t="s">
        <v>43</v>
      </c>
      <c r="C373" s="2">
        <v>1167.32</v>
      </c>
      <c r="D373" s="1">
        <v>11673.199999999999</v>
      </c>
      <c r="E373" t="s">
        <v>213</v>
      </c>
      <c r="F373" s="2">
        <f t="shared" si="28"/>
        <v>406.22735999999992</v>
      </c>
      <c r="G373" s="2">
        <v>3.4799999999999995</v>
      </c>
    </row>
    <row r="374" spans="1:14" hidden="1" x14ac:dyDescent="0.25">
      <c r="A374" t="s">
        <v>42</v>
      </c>
      <c r="B374" t="s">
        <v>43</v>
      </c>
      <c r="C374" s="2">
        <v>1167.32</v>
      </c>
      <c r="D374" s="1">
        <v>11673.199999999999</v>
      </c>
      <c r="E374" t="s">
        <v>112</v>
      </c>
      <c r="F374" s="2">
        <f t="shared" si="28"/>
        <v>393.38684000000001</v>
      </c>
      <c r="G374" s="2">
        <v>3.37</v>
      </c>
    </row>
    <row r="375" spans="1:14" hidden="1" x14ac:dyDescent="0.25">
      <c r="A375" t="s">
        <v>42</v>
      </c>
      <c r="B375" t="s">
        <v>43</v>
      </c>
      <c r="C375" s="2">
        <v>1167.32</v>
      </c>
      <c r="D375" s="1">
        <v>11673.199999999999</v>
      </c>
      <c r="E375" t="s">
        <v>214</v>
      </c>
      <c r="F375" s="2">
        <f t="shared" si="28"/>
        <v>388.71755999999999</v>
      </c>
      <c r="G375" s="2">
        <v>3.3300000000000005</v>
      </c>
    </row>
    <row r="376" spans="1:14" hidden="1" x14ac:dyDescent="0.25">
      <c r="A376" t="s">
        <v>42</v>
      </c>
      <c r="B376" t="s">
        <v>43</v>
      </c>
      <c r="C376" s="2">
        <v>1167.32</v>
      </c>
      <c r="D376" s="1">
        <v>11673.199999999999</v>
      </c>
      <c r="E376" s="4" t="s">
        <v>96</v>
      </c>
      <c r="F376" s="2">
        <f t="shared" si="28"/>
        <v>72.373839999999987</v>
      </c>
      <c r="G376" s="2">
        <v>0.62</v>
      </c>
      <c r="N376" s="2"/>
    </row>
    <row r="377" spans="1:14" x14ac:dyDescent="0.25">
      <c r="A377" t="str">
        <f>A376</f>
        <v>MIDCAP MOMENTUM INDEX FUND</v>
      </c>
      <c r="B377" t="s">
        <v>43</v>
      </c>
      <c r="C377" s="2">
        <v>1167.32</v>
      </c>
      <c r="D377" s="1">
        <v>11673.199999999999</v>
      </c>
      <c r="E377" s="4" t="s">
        <v>8</v>
      </c>
      <c r="F377" s="2">
        <f ca="1">SUMIF(A:A,M377,F:F)</f>
        <v>4847.8799599999993</v>
      </c>
      <c r="G377" s="2">
        <f ca="1">SUMIF(A:A,M377,G:G)</f>
        <v>41.529999999999987</v>
      </c>
      <c r="I377" s="2">
        <f ca="1">(D377*J377)/100</f>
        <v>6825.3200400000005</v>
      </c>
      <c r="J377" s="2">
        <f ca="1">100-G377</f>
        <v>58.470000000000013</v>
      </c>
      <c r="K377" s="2">
        <f>D377/1000</f>
        <v>11.6732</v>
      </c>
      <c r="M377" t="str">
        <f>A376</f>
        <v>MIDCAP MOMENTUM INDEX FUND</v>
      </c>
    </row>
    <row r="378" spans="1:14" hidden="1" x14ac:dyDescent="0.25"/>
    <row r="379" spans="1:14" hidden="1" x14ac:dyDescent="0.25">
      <c r="A379" t="s">
        <v>44</v>
      </c>
      <c r="B379" t="s">
        <v>45</v>
      </c>
      <c r="C379" s="2">
        <v>685.84</v>
      </c>
      <c r="D379" s="1">
        <v>6858.4000000000005</v>
      </c>
      <c r="E379" s="4" t="s">
        <v>93</v>
      </c>
      <c r="N379" s="2"/>
    </row>
    <row r="380" spans="1:14" hidden="1" x14ac:dyDescent="0.25">
      <c r="A380" t="s">
        <v>44</v>
      </c>
      <c r="B380" t="s">
        <v>45</v>
      </c>
      <c r="C380" s="2">
        <v>685.84</v>
      </c>
      <c r="D380" s="1">
        <v>6858.4000000000005</v>
      </c>
      <c r="E380" t="s">
        <v>215</v>
      </c>
      <c r="F380" s="2">
        <f t="shared" ref="F380:F390" si="29">(D380*G380)/100</f>
        <v>495.86232000000001</v>
      </c>
      <c r="G380" s="2">
        <v>7.23</v>
      </c>
    </row>
    <row r="381" spans="1:14" hidden="1" x14ac:dyDescent="0.25">
      <c r="A381" t="s">
        <v>44</v>
      </c>
      <c r="B381" t="s">
        <v>45</v>
      </c>
      <c r="C381" s="2">
        <v>685.84</v>
      </c>
      <c r="D381" s="1">
        <v>6858.4000000000005</v>
      </c>
      <c r="E381" t="s">
        <v>213</v>
      </c>
      <c r="F381" s="2">
        <f t="shared" si="29"/>
        <v>342.23416000000003</v>
      </c>
      <c r="G381" s="2">
        <v>4.99</v>
      </c>
    </row>
    <row r="382" spans="1:14" hidden="1" x14ac:dyDescent="0.25">
      <c r="A382" t="s">
        <v>44</v>
      </c>
      <c r="B382" t="s">
        <v>45</v>
      </c>
      <c r="C382" s="2">
        <v>685.84</v>
      </c>
      <c r="D382" s="1">
        <v>6858.4000000000005</v>
      </c>
      <c r="E382" t="s">
        <v>216</v>
      </c>
      <c r="F382" s="2">
        <f t="shared" si="29"/>
        <v>335.37576000000001</v>
      </c>
      <c r="G382" s="2">
        <v>4.8899999999999997</v>
      </c>
    </row>
    <row r="383" spans="1:14" hidden="1" x14ac:dyDescent="0.25">
      <c r="A383" t="s">
        <v>44</v>
      </c>
      <c r="B383" t="s">
        <v>45</v>
      </c>
      <c r="C383" s="2">
        <v>685.84</v>
      </c>
      <c r="D383" s="1">
        <v>6858.4000000000005</v>
      </c>
      <c r="E383" t="s">
        <v>217</v>
      </c>
      <c r="F383" s="2">
        <f t="shared" si="29"/>
        <v>308.62800000000004</v>
      </c>
      <c r="G383" s="2">
        <v>4.5</v>
      </c>
    </row>
    <row r="384" spans="1:14" hidden="1" x14ac:dyDescent="0.25">
      <c r="A384" t="s">
        <v>44</v>
      </c>
      <c r="B384" t="s">
        <v>45</v>
      </c>
      <c r="C384" s="2">
        <v>685.84</v>
      </c>
      <c r="D384" s="1">
        <v>6858.4000000000005</v>
      </c>
      <c r="E384" t="s">
        <v>214</v>
      </c>
      <c r="F384" s="2">
        <f t="shared" si="29"/>
        <v>250.33160000000001</v>
      </c>
      <c r="G384" s="2">
        <v>3.65</v>
      </c>
    </row>
    <row r="385" spans="1:14" hidden="1" x14ac:dyDescent="0.25">
      <c r="A385" t="s">
        <v>44</v>
      </c>
      <c r="B385" t="s">
        <v>45</v>
      </c>
      <c r="C385" s="2">
        <v>685.84</v>
      </c>
      <c r="D385" s="1">
        <v>6858.4000000000005</v>
      </c>
      <c r="E385" t="s">
        <v>218</v>
      </c>
      <c r="F385" s="2">
        <f t="shared" si="29"/>
        <v>233.87144000000001</v>
      </c>
      <c r="G385" s="2">
        <v>3.4099999999999997</v>
      </c>
    </row>
    <row r="386" spans="1:14" hidden="1" x14ac:dyDescent="0.25">
      <c r="A386" t="s">
        <v>44</v>
      </c>
      <c r="B386" t="s">
        <v>45</v>
      </c>
      <c r="C386" s="2">
        <v>685.84</v>
      </c>
      <c r="D386" s="1">
        <v>6858.4000000000005</v>
      </c>
      <c r="E386" t="s">
        <v>219</v>
      </c>
      <c r="F386" s="2">
        <f t="shared" si="29"/>
        <v>216.03960000000004</v>
      </c>
      <c r="G386" s="2">
        <v>3.15</v>
      </c>
    </row>
    <row r="387" spans="1:14" hidden="1" x14ac:dyDescent="0.25">
      <c r="A387" t="s">
        <v>44</v>
      </c>
      <c r="B387" t="s">
        <v>45</v>
      </c>
      <c r="C387" s="2">
        <v>685.84</v>
      </c>
      <c r="D387" s="1">
        <v>6858.4000000000005</v>
      </c>
      <c r="E387" t="s">
        <v>220</v>
      </c>
      <c r="F387" s="2">
        <f t="shared" si="29"/>
        <v>200.26528000000002</v>
      </c>
      <c r="G387" s="2">
        <v>2.92</v>
      </c>
    </row>
    <row r="388" spans="1:14" hidden="1" x14ac:dyDescent="0.25">
      <c r="A388" t="s">
        <v>44</v>
      </c>
      <c r="B388" t="s">
        <v>45</v>
      </c>
      <c r="C388" s="2">
        <v>685.84</v>
      </c>
      <c r="D388" s="1">
        <v>6858.4000000000005</v>
      </c>
      <c r="E388" t="s">
        <v>221</v>
      </c>
      <c r="F388" s="2">
        <f t="shared" si="29"/>
        <v>185.17680000000004</v>
      </c>
      <c r="G388" s="2">
        <v>2.7</v>
      </c>
    </row>
    <row r="389" spans="1:14" hidden="1" x14ac:dyDescent="0.25">
      <c r="A389" t="s">
        <v>44</v>
      </c>
      <c r="B389" t="s">
        <v>45</v>
      </c>
      <c r="C389" s="2">
        <v>685.84</v>
      </c>
      <c r="D389" s="1">
        <v>6858.4000000000005</v>
      </c>
      <c r="E389" t="s">
        <v>222</v>
      </c>
      <c r="F389" s="2">
        <f t="shared" si="29"/>
        <v>180.37592000000001</v>
      </c>
      <c r="G389" s="2">
        <v>2.63</v>
      </c>
    </row>
    <row r="390" spans="1:14" hidden="1" x14ac:dyDescent="0.25">
      <c r="A390" t="s">
        <v>44</v>
      </c>
      <c r="B390" t="s">
        <v>45</v>
      </c>
      <c r="C390" s="2">
        <v>685.84</v>
      </c>
      <c r="D390" s="1">
        <v>6858.4000000000005</v>
      </c>
      <c r="E390" s="4" t="s">
        <v>96</v>
      </c>
      <c r="F390" s="2">
        <f t="shared" si="29"/>
        <v>22.632720000000003</v>
      </c>
      <c r="G390" s="2">
        <v>0.33</v>
      </c>
      <c r="N390" s="2"/>
    </row>
    <row r="391" spans="1:14" x14ac:dyDescent="0.25">
      <c r="A391" t="str">
        <f>A390</f>
        <v>NIFTY ALPHA 50 FUND</v>
      </c>
      <c r="B391" t="s">
        <v>45</v>
      </c>
      <c r="C391" s="2">
        <v>685.84</v>
      </c>
      <c r="D391" s="1">
        <v>6858.4000000000005</v>
      </c>
      <c r="E391" s="4" t="s">
        <v>8</v>
      </c>
      <c r="F391" s="2">
        <f ca="1">SUMIF(A:A,M391,F:F)</f>
        <v>2770.7936000000004</v>
      </c>
      <c r="G391" s="2">
        <f ca="1">SUMIF(A:A,M391,G:G)</f>
        <v>40.4</v>
      </c>
      <c r="I391" s="2">
        <f ca="1">(D391*J391)/100</f>
        <v>4087.6064000000001</v>
      </c>
      <c r="J391" s="2">
        <f ca="1">100-G391</f>
        <v>59.6</v>
      </c>
      <c r="K391" s="2">
        <f>D391/1000</f>
        <v>6.8584000000000005</v>
      </c>
      <c r="M391" t="str">
        <f>A390</f>
        <v>NIFTY ALPHA 50 FUND</v>
      </c>
    </row>
    <row r="392" spans="1:14" hidden="1" x14ac:dyDescent="0.25"/>
    <row r="393" spans="1:14" hidden="1" x14ac:dyDescent="0.25">
      <c r="A393" t="s">
        <v>46</v>
      </c>
      <c r="B393" t="s">
        <v>47</v>
      </c>
      <c r="C393" s="2">
        <v>244</v>
      </c>
      <c r="D393" s="1">
        <v>2440</v>
      </c>
      <c r="E393" s="4" t="s">
        <v>93</v>
      </c>
      <c r="N393" s="2"/>
    </row>
    <row r="394" spans="1:14" hidden="1" x14ac:dyDescent="0.25">
      <c r="A394" t="s">
        <v>46</v>
      </c>
      <c r="B394" t="s">
        <v>47</v>
      </c>
      <c r="C394" s="2">
        <v>244</v>
      </c>
      <c r="D394" s="1">
        <v>2440</v>
      </c>
      <c r="E394" t="s">
        <v>219</v>
      </c>
      <c r="F394" s="2">
        <f t="shared" ref="F394:F404" si="30">(D394*G394)/100</f>
        <v>153.476</v>
      </c>
      <c r="G394" s="2">
        <v>6.29</v>
      </c>
    </row>
    <row r="395" spans="1:14" hidden="1" x14ac:dyDescent="0.25">
      <c r="A395" t="s">
        <v>46</v>
      </c>
      <c r="B395" t="s">
        <v>47</v>
      </c>
      <c r="C395" s="2">
        <v>244</v>
      </c>
      <c r="D395" s="1">
        <v>2440</v>
      </c>
      <c r="E395" t="s">
        <v>13</v>
      </c>
      <c r="F395" s="2">
        <f t="shared" si="30"/>
        <v>135.90800000000002</v>
      </c>
      <c r="G395" s="2">
        <v>5.57</v>
      </c>
    </row>
    <row r="396" spans="1:14" hidden="1" x14ac:dyDescent="0.25">
      <c r="A396" t="s">
        <v>46</v>
      </c>
      <c r="B396" t="s">
        <v>47</v>
      </c>
      <c r="C396" s="2">
        <v>244</v>
      </c>
      <c r="D396" s="1">
        <v>2440</v>
      </c>
      <c r="E396" t="s">
        <v>223</v>
      </c>
      <c r="F396" s="2">
        <f t="shared" si="30"/>
        <v>133.71200000000002</v>
      </c>
      <c r="G396" s="2">
        <v>5.48</v>
      </c>
    </row>
    <row r="397" spans="1:14" hidden="1" x14ac:dyDescent="0.25">
      <c r="A397" t="s">
        <v>46</v>
      </c>
      <c r="B397" t="s">
        <v>47</v>
      </c>
      <c r="C397" s="2">
        <v>244</v>
      </c>
      <c r="D397" s="1">
        <v>2440</v>
      </c>
      <c r="E397" t="s">
        <v>97</v>
      </c>
      <c r="F397" s="2">
        <f t="shared" si="30"/>
        <v>129.80799999999999</v>
      </c>
      <c r="G397" s="2">
        <v>5.3199999999999994</v>
      </c>
    </row>
    <row r="398" spans="1:14" hidden="1" x14ac:dyDescent="0.25">
      <c r="A398" t="s">
        <v>46</v>
      </c>
      <c r="B398" t="s">
        <v>47</v>
      </c>
      <c r="C398" s="2">
        <v>244</v>
      </c>
      <c r="D398" s="1">
        <v>2440</v>
      </c>
      <c r="E398" t="s">
        <v>5</v>
      </c>
      <c r="F398" s="2">
        <f t="shared" si="30"/>
        <v>129.32</v>
      </c>
      <c r="G398" s="2">
        <v>5.3</v>
      </c>
    </row>
    <row r="399" spans="1:14" hidden="1" x14ac:dyDescent="0.25">
      <c r="A399" t="s">
        <v>46</v>
      </c>
      <c r="B399" t="s">
        <v>47</v>
      </c>
      <c r="C399" s="2">
        <v>244</v>
      </c>
      <c r="D399" s="1">
        <v>2440</v>
      </c>
      <c r="E399" t="s">
        <v>224</v>
      </c>
      <c r="F399" s="2">
        <f t="shared" si="30"/>
        <v>118.096</v>
      </c>
      <c r="G399" s="2">
        <v>4.84</v>
      </c>
    </row>
    <row r="400" spans="1:14" hidden="1" x14ac:dyDescent="0.25">
      <c r="A400" t="s">
        <v>46</v>
      </c>
      <c r="B400" t="s">
        <v>47</v>
      </c>
      <c r="C400" s="2">
        <v>244</v>
      </c>
      <c r="D400" s="1">
        <v>2440</v>
      </c>
      <c r="E400" t="s">
        <v>220</v>
      </c>
      <c r="F400" s="2">
        <f t="shared" si="30"/>
        <v>107.35999999999999</v>
      </c>
      <c r="G400" s="2">
        <v>4.3999999999999995</v>
      </c>
    </row>
    <row r="401" spans="1:14" hidden="1" x14ac:dyDescent="0.25">
      <c r="A401" t="s">
        <v>46</v>
      </c>
      <c r="B401" t="s">
        <v>47</v>
      </c>
      <c r="C401" s="2">
        <v>244</v>
      </c>
      <c r="D401" s="1">
        <v>2440</v>
      </c>
      <c r="E401" t="s">
        <v>225</v>
      </c>
      <c r="F401" s="2">
        <f t="shared" si="30"/>
        <v>98.087999999999994</v>
      </c>
      <c r="G401" s="2">
        <v>4.0199999999999996</v>
      </c>
    </row>
    <row r="402" spans="1:14" hidden="1" x14ac:dyDescent="0.25">
      <c r="A402" t="s">
        <v>46</v>
      </c>
      <c r="B402" t="s">
        <v>47</v>
      </c>
      <c r="C402" s="2">
        <v>244</v>
      </c>
      <c r="D402" s="1">
        <v>2440</v>
      </c>
      <c r="E402" t="s">
        <v>210</v>
      </c>
      <c r="F402" s="2">
        <f t="shared" si="30"/>
        <v>96.38</v>
      </c>
      <c r="G402" s="2">
        <v>3.95</v>
      </c>
    </row>
    <row r="403" spans="1:14" hidden="1" x14ac:dyDescent="0.25">
      <c r="A403" t="s">
        <v>46</v>
      </c>
      <c r="B403" t="s">
        <v>47</v>
      </c>
      <c r="C403" s="2">
        <v>244</v>
      </c>
      <c r="D403" s="1">
        <v>2440</v>
      </c>
      <c r="E403" t="s">
        <v>226</v>
      </c>
      <c r="F403" s="2">
        <f t="shared" si="30"/>
        <v>94.671999999999983</v>
      </c>
      <c r="G403" s="2">
        <v>3.88</v>
      </c>
    </row>
    <row r="404" spans="1:14" hidden="1" x14ac:dyDescent="0.25">
      <c r="A404" t="s">
        <v>46</v>
      </c>
      <c r="B404" t="s">
        <v>47</v>
      </c>
      <c r="C404" s="2">
        <v>244</v>
      </c>
      <c r="D404" s="1">
        <v>2440</v>
      </c>
      <c r="E404" s="4" t="s">
        <v>96</v>
      </c>
      <c r="F404" s="2">
        <f t="shared" si="30"/>
        <v>18.788</v>
      </c>
      <c r="G404" s="2">
        <v>0.77</v>
      </c>
      <c r="N404" s="2"/>
    </row>
    <row r="405" spans="1:14" x14ac:dyDescent="0.25">
      <c r="A405" t="str">
        <f>A404</f>
        <v>NIFTY 500 MOMENTUM 50 FUND</v>
      </c>
      <c r="B405" t="s">
        <v>47</v>
      </c>
      <c r="C405" s="2">
        <v>244</v>
      </c>
      <c r="D405" s="1">
        <v>2440</v>
      </c>
      <c r="E405" s="4" t="s">
        <v>8</v>
      </c>
      <c r="F405" s="2">
        <f ca="1">SUMIF(A:A,M405,F:F)</f>
        <v>1215.6079999999999</v>
      </c>
      <c r="G405" s="2">
        <f ca="1">SUMIF(A:A,M405,G:G)</f>
        <v>49.820000000000007</v>
      </c>
      <c r="I405" s="2">
        <f ca="1">(D405*J405)/100</f>
        <v>1224.3919999999998</v>
      </c>
      <c r="J405" s="2">
        <f ca="1">100-G405</f>
        <v>50.179999999999993</v>
      </c>
      <c r="K405" s="2">
        <f>D405/1000</f>
        <v>2.44</v>
      </c>
      <c r="M405" t="str">
        <f>A404</f>
        <v>NIFTY 500 MOMENTUM 50 FUND</v>
      </c>
    </row>
    <row r="406" spans="1:14" hidden="1" x14ac:dyDescent="0.25"/>
    <row r="407" spans="1:14" hidden="1" x14ac:dyDescent="0.25">
      <c r="A407" t="s">
        <v>48</v>
      </c>
      <c r="B407" t="s">
        <v>49</v>
      </c>
      <c r="C407" s="2">
        <v>131.62</v>
      </c>
      <c r="D407" s="1">
        <v>1316.2</v>
      </c>
      <c r="E407" s="4" t="s">
        <v>93</v>
      </c>
      <c r="N407" s="2"/>
    </row>
    <row r="408" spans="1:14" hidden="1" x14ac:dyDescent="0.25">
      <c r="A408" t="s">
        <v>48</v>
      </c>
      <c r="B408" t="s">
        <v>49</v>
      </c>
      <c r="C408" s="2">
        <v>131.62</v>
      </c>
      <c r="D408" s="1">
        <v>1316.2</v>
      </c>
      <c r="E408" t="s">
        <v>188</v>
      </c>
      <c r="F408" s="2">
        <f t="shared" ref="F408:F418" si="31">(D408*G408)/100</f>
        <v>78.31389999999999</v>
      </c>
      <c r="G408" s="2">
        <v>5.9499999999999993</v>
      </c>
    </row>
    <row r="409" spans="1:14" hidden="1" x14ac:dyDescent="0.25">
      <c r="A409" t="s">
        <v>48</v>
      </c>
      <c r="B409" t="s">
        <v>49</v>
      </c>
      <c r="C409" s="2">
        <v>131.62</v>
      </c>
      <c r="D409" s="1">
        <v>1316.2</v>
      </c>
      <c r="E409" t="s">
        <v>219</v>
      </c>
      <c r="F409" s="2">
        <f t="shared" si="31"/>
        <v>76.734459999999999</v>
      </c>
      <c r="G409" s="2">
        <v>5.83</v>
      </c>
    </row>
    <row r="410" spans="1:14" hidden="1" x14ac:dyDescent="0.25">
      <c r="A410" t="s">
        <v>48</v>
      </c>
      <c r="B410" t="s">
        <v>49</v>
      </c>
      <c r="C410" s="2">
        <v>131.62</v>
      </c>
      <c r="D410" s="1">
        <v>1316.2</v>
      </c>
      <c r="E410" t="s">
        <v>227</v>
      </c>
      <c r="F410" s="2">
        <f t="shared" si="31"/>
        <v>71.206420000000008</v>
      </c>
      <c r="G410" s="2">
        <v>5.41</v>
      </c>
    </row>
    <row r="411" spans="1:14" hidden="1" x14ac:dyDescent="0.25">
      <c r="A411" t="s">
        <v>48</v>
      </c>
      <c r="B411" t="s">
        <v>49</v>
      </c>
      <c r="C411" s="2">
        <v>131.62</v>
      </c>
      <c r="D411" s="1">
        <v>1316.2</v>
      </c>
      <c r="E411" t="s">
        <v>210</v>
      </c>
      <c r="F411" s="2">
        <f t="shared" si="31"/>
        <v>71.07480000000001</v>
      </c>
      <c r="G411" s="2">
        <v>5.4</v>
      </c>
    </row>
    <row r="412" spans="1:14" hidden="1" x14ac:dyDescent="0.25">
      <c r="A412" t="s">
        <v>48</v>
      </c>
      <c r="B412" t="s">
        <v>49</v>
      </c>
      <c r="C412" s="2">
        <v>131.62</v>
      </c>
      <c r="D412" s="1">
        <v>1316.2</v>
      </c>
      <c r="E412" t="s">
        <v>113</v>
      </c>
      <c r="F412" s="2">
        <f t="shared" si="31"/>
        <v>63.835700000000003</v>
      </c>
      <c r="G412" s="2">
        <v>4.8500000000000005</v>
      </c>
    </row>
    <row r="413" spans="1:14" hidden="1" x14ac:dyDescent="0.25">
      <c r="A413" t="s">
        <v>48</v>
      </c>
      <c r="B413" t="s">
        <v>49</v>
      </c>
      <c r="C413" s="2">
        <v>131.62</v>
      </c>
      <c r="D413" s="1">
        <v>1316.2</v>
      </c>
      <c r="E413" t="s">
        <v>97</v>
      </c>
      <c r="F413" s="2">
        <f t="shared" si="31"/>
        <v>62.782739999999997</v>
      </c>
      <c r="G413" s="2">
        <v>4.7699999999999996</v>
      </c>
    </row>
    <row r="414" spans="1:14" hidden="1" x14ac:dyDescent="0.25">
      <c r="A414" t="s">
        <v>48</v>
      </c>
      <c r="B414" t="s">
        <v>49</v>
      </c>
      <c r="C414" s="2">
        <v>131.62</v>
      </c>
      <c r="D414" s="1">
        <v>1316.2</v>
      </c>
      <c r="E414" t="s">
        <v>224</v>
      </c>
      <c r="F414" s="2">
        <f t="shared" si="31"/>
        <v>60.676820000000006</v>
      </c>
      <c r="G414" s="2">
        <v>4.6100000000000003</v>
      </c>
    </row>
    <row r="415" spans="1:14" hidden="1" x14ac:dyDescent="0.25">
      <c r="A415" t="s">
        <v>48</v>
      </c>
      <c r="B415" t="s">
        <v>49</v>
      </c>
      <c r="C415" s="2">
        <v>131.62</v>
      </c>
      <c r="D415" s="1">
        <v>1316.2</v>
      </c>
      <c r="E415" t="s">
        <v>193</v>
      </c>
      <c r="F415" s="2">
        <f t="shared" si="31"/>
        <v>60.15034</v>
      </c>
      <c r="G415" s="2">
        <v>4.5699999999999994</v>
      </c>
    </row>
    <row r="416" spans="1:14" hidden="1" x14ac:dyDescent="0.25">
      <c r="A416" t="s">
        <v>48</v>
      </c>
      <c r="B416" t="s">
        <v>49</v>
      </c>
      <c r="C416" s="2">
        <v>131.62</v>
      </c>
      <c r="D416" s="1">
        <v>1316.2</v>
      </c>
      <c r="E416" t="s">
        <v>110</v>
      </c>
      <c r="F416" s="2">
        <f t="shared" si="31"/>
        <v>58.439280000000011</v>
      </c>
      <c r="G416" s="2">
        <v>4.4400000000000004</v>
      </c>
    </row>
    <row r="417" spans="1:14" hidden="1" x14ac:dyDescent="0.25">
      <c r="A417" t="s">
        <v>48</v>
      </c>
      <c r="B417" t="s">
        <v>49</v>
      </c>
      <c r="C417" s="2">
        <v>131.62</v>
      </c>
      <c r="D417" s="1">
        <v>1316.2</v>
      </c>
      <c r="E417" t="s">
        <v>228</v>
      </c>
      <c r="F417" s="2">
        <f t="shared" si="31"/>
        <v>58.307659999999998</v>
      </c>
      <c r="G417" s="2">
        <v>4.43</v>
      </c>
    </row>
    <row r="418" spans="1:14" hidden="1" x14ac:dyDescent="0.25">
      <c r="A418" t="s">
        <v>48</v>
      </c>
      <c r="B418" t="s">
        <v>49</v>
      </c>
      <c r="C418" s="2">
        <v>131.62</v>
      </c>
      <c r="D418" s="1">
        <v>1316.2</v>
      </c>
      <c r="E418" s="4" t="s">
        <v>96</v>
      </c>
      <c r="F418" s="2">
        <f t="shared" si="31"/>
        <v>13.688480000000002</v>
      </c>
      <c r="G418" s="2">
        <v>1.04</v>
      </c>
      <c r="N418" s="2"/>
    </row>
    <row r="419" spans="1:14" x14ac:dyDescent="0.25">
      <c r="A419" t="str">
        <f>A418</f>
        <v>NIFTY MOMENTUM QUALITY 50 FUND</v>
      </c>
      <c r="B419" t="s">
        <v>49</v>
      </c>
      <c r="C419" s="2">
        <v>131.62</v>
      </c>
      <c r="D419" s="1">
        <v>1316.2</v>
      </c>
      <c r="E419" s="4" t="s">
        <v>8</v>
      </c>
      <c r="F419" s="2">
        <f ca="1">SUMIF(A:A,M419,F:F)</f>
        <v>675.21060000000011</v>
      </c>
      <c r="G419" s="2">
        <f ca="1">SUMIF(A:A,M419,G:G)</f>
        <v>51.29999999999999</v>
      </c>
      <c r="I419" s="2">
        <f ca="1">(D419*J419)/100</f>
        <v>640.98940000000016</v>
      </c>
      <c r="J419" s="2">
        <f ca="1">100-G419</f>
        <v>48.70000000000001</v>
      </c>
      <c r="K419" s="2">
        <f>D419/1000</f>
        <v>1.3162</v>
      </c>
      <c r="M419" t="str">
        <f>A418</f>
        <v>NIFTY MOMENTUM QUALITY 50 FUND</v>
      </c>
    </row>
    <row r="420" spans="1:14" hidden="1" x14ac:dyDescent="0.25"/>
    <row r="421" spans="1:14" hidden="1" x14ac:dyDescent="0.25">
      <c r="A421" t="s">
        <v>50</v>
      </c>
      <c r="B421" t="s">
        <v>51</v>
      </c>
      <c r="C421" s="2">
        <v>126.3</v>
      </c>
      <c r="D421" s="1">
        <v>1263</v>
      </c>
      <c r="E421" s="4" t="s">
        <v>93</v>
      </c>
      <c r="N421" s="2"/>
    </row>
    <row r="422" spans="1:14" hidden="1" x14ac:dyDescent="0.25">
      <c r="A422" t="s">
        <v>50</v>
      </c>
      <c r="B422" t="s">
        <v>51</v>
      </c>
      <c r="C422" s="2">
        <v>126.3</v>
      </c>
      <c r="D422" s="1">
        <v>1263</v>
      </c>
      <c r="E422" t="s">
        <v>229</v>
      </c>
      <c r="F422" s="2">
        <f t="shared" ref="F422:F432" si="32">(D422*G422)/100</f>
        <v>33.090600000000002</v>
      </c>
      <c r="G422" s="2">
        <v>2.62</v>
      </c>
    </row>
    <row r="423" spans="1:14" hidden="1" x14ac:dyDescent="0.25">
      <c r="A423" t="s">
        <v>50</v>
      </c>
      <c r="B423" t="s">
        <v>51</v>
      </c>
      <c r="C423" s="2">
        <v>126.3</v>
      </c>
      <c r="D423" s="1">
        <v>1263</v>
      </c>
      <c r="E423" t="s">
        <v>230</v>
      </c>
      <c r="F423" s="2">
        <f t="shared" si="32"/>
        <v>32.080199999999998</v>
      </c>
      <c r="G423" s="2">
        <v>2.54</v>
      </c>
    </row>
    <row r="424" spans="1:14" hidden="1" x14ac:dyDescent="0.25">
      <c r="A424" t="s">
        <v>50</v>
      </c>
      <c r="B424" t="s">
        <v>51</v>
      </c>
      <c r="C424" s="2">
        <v>126.3</v>
      </c>
      <c r="D424" s="1">
        <v>1263</v>
      </c>
      <c r="E424" t="s">
        <v>231</v>
      </c>
      <c r="F424" s="2">
        <f t="shared" si="32"/>
        <v>31.827600000000004</v>
      </c>
      <c r="G424" s="2">
        <v>2.52</v>
      </c>
    </row>
    <row r="425" spans="1:14" hidden="1" x14ac:dyDescent="0.25">
      <c r="A425" t="s">
        <v>50</v>
      </c>
      <c r="B425" t="s">
        <v>51</v>
      </c>
      <c r="C425" s="2">
        <v>126.3</v>
      </c>
      <c r="D425" s="1">
        <v>1263</v>
      </c>
      <c r="E425" t="s">
        <v>87</v>
      </c>
      <c r="F425" s="2">
        <f t="shared" si="32"/>
        <v>31.448699999999999</v>
      </c>
      <c r="G425" s="2">
        <v>2.4899999999999998</v>
      </c>
    </row>
    <row r="426" spans="1:14" hidden="1" x14ac:dyDescent="0.25">
      <c r="A426" t="s">
        <v>50</v>
      </c>
      <c r="B426" t="s">
        <v>51</v>
      </c>
      <c r="C426" s="2">
        <v>126.3</v>
      </c>
      <c r="D426" s="1">
        <v>1263</v>
      </c>
      <c r="E426" t="s">
        <v>232</v>
      </c>
      <c r="F426" s="2">
        <f t="shared" si="32"/>
        <v>29.554199999999994</v>
      </c>
      <c r="G426" s="2">
        <v>2.34</v>
      </c>
    </row>
    <row r="427" spans="1:14" hidden="1" x14ac:dyDescent="0.25">
      <c r="A427" t="s">
        <v>50</v>
      </c>
      <c r="B427" t="s">
        <v>51</v>
      </c>
      <c r="C427" s="2">
        <v>126.3</v>
      </c>
      <c r="D427" s="1">
        <v>1263</v>
      </c>
      <c r="E427" t="s">
        <v>233</v>
      </c>
      <c r="F427" s="2">
        <f t="shared" si="32"/>
        <v>28.922699999999999</v>
      </c>
      <c r="G427" s="2">
        <v>2.29</v>
      </c>
    </row>
    <row r="428" spans="1:14" hidden="1" x14ac:dyDescent="0.25">
      <c r="A428" t="s">
        <v>50</v>
      </c>
      <c r="B428" t="s">
        <v>51</v>
      </c>
      <c r="C428" s="2">
        <v>126.3</v>
      </c>
      <c r="D428" s="1">
        <v>1263</v>
      </c>
      <c r="E428" t="s">
        <v>234</v>
      </c>
      <c r="F428" s="2">
        <f t="shared" si="32"/>
        <v>28.796400000000002</v>
      </c>
      <c r="G428" s="2">
        <v>2.2800000000000002</v>
      </c>
    </row>
    <row r="429" spans="1:14" hidden="1" x14ac:dyDescent="0.25">
      <c r="A429" t="s">
        <v>50</v>
      </c>
      <c r="B429" t="s">
        <v>51</v>
      </c>
      <c r="C429" s="2">
        <v>126.3</v>
      </c>
      <c r="D429" s="1">
        <v>1263</v>
      </c>
      <c r="E429" t="s">
        <v>235</v>
      </c>
      <c r="F429" s="2">
        <f t="shared" si="32"/>
        <v>28.164899999999999</v>
      </c>
      <c r="G429" s="2">
        <v>2.23</v>
      </c>
    </row>
    <row r="430" spans="1:14" hidden="1" x14ac:dyDescent="0.25">
      <c r="A430" t="s">
        <v>50</v>
      </c>
      <c r="B430" t="s">
        <v>51</v>
      </c>
      <c r="C430" s="2">
        <v>126.3</v>
      </c>
      <c r="D430" s="1">
        <v>1263</v>
      </c>
      <c r="E430" t="s">
        <v>236</v>
      </c>
      <c r="F430" s="2">
        <f t="shared" si="32"/>
        <v>27.785999999999994</v>
      </c>
      <c r="G430" s="2">
        <v>2.1999999999999997</v>
      </c>
    </row>
    <row r="431" spans="1:14" hidden="1" x14ac:dyDescent="0.25">
      <c r="A431" t="s">
        <v>50</v>
      </c>
      <c r="B431" t="s">
        <v>51</v>
      </c>
      <c r="C431" s="2">
        <v>126.3</v>
      </c>
      <c r="D431" s="1">
        <v>1263</v>
      </c>
      <c r="E431" t="s">
        <v>237</v>
      </c>
      <c r="F431" s="2">
        <f t="shared" si="32"/>
        <v>27.154499999999999</v>
      </c>
      <c r="G431" s="2">
        <v>2.15</v>
      </c>
    </row>
    <row r="432" spans="1:14" hidden="1" x14ac:dyDescent="0.25">
      <c r="A432" t="s">
        <v>50</v>
      </c>
      <c r="B432" t="s">
        <v>51</v>
      </c>
      <c r="C432" s="2">
        <v>126.3</v>
      </c>
      <c r="D432" s="1">
        <v>1263</v>
      </c>
      <c r="E432" s="4" t="s">
        <v>96</v>
      </c>
      <c r="F432" s="2">
        <f t="shared" si="32"/>
        <v>10.482899999999999</v>
      </c>
      <c r="G432" s="2">
        <v>0.83</v>
      </c>
      <c r="N432" s="2"/>
    </row>
    <row r="433" spans="1:14" x14ac:dyDescent="0.25">
      <c r="A433" t="str">
        <f>A432</f>
        <v>SUSTAINABLE WEALTH 50 INDEX FUND</v>
      </c>
      <c r="B433" t="s">
        <v>51</v>
      </c>
      <c r="C433" s="2">
        <v>126.3</v>
      </c>
      <c r="D433" s="1">
        <v>1263</v>
      </c>
      <c r="E433" s="4" t="s">
        <v>8</v>
      </c>
      <c r="F433" s="2">
        <f ca="1">SUMIF(A:A,M433,F:F)</f>
        <v>309.30869999999993</v>
      </c>
      <c r="G433" s="2">
        <f ca="1">SUMIF(A:A,M433,G:G)</f>
        <v>24.49</v>
      </c>
      <c r="I433" s="2">
        <f ca="1">(D433*J433)/100</f>
        <v>953.69130000000007</v>
      </c>
      <c r="J433" s="2">
        <f ca="1">100-G433</f>
        <v>75.510000000000005</v>
      </c>
      <c r="K433" s="2">
        <f>D433/1000</f>
        <v>1.2629999999999999</v>
      </c>
      <c r="M433" t="str">
        <f>A432</f>
        <v>SUSTAINABLE WEALTH 50 INDEX FUND</v>
      </c>
    </row>
    <row r="434" spans="1:14" hidden="1" x14ac:dyDescent="0.25"/>
    <row r="435" spans="1:14" hidden="1" x14ac:dyDescent="0.25">
      <c r="A435" t="s">
        <v>52</v>
      </c>
      <c r="B435" t="s">
        <v>53</v>
      </c>
      <c r="C435" s="2">
        <v>50.39</v>
      </c>
      <c r="D435" s="1">
        <v>503.9</v>
      </c>
      <c r="E435" s="4" t="s">
        <v>93</v>
      </c>
      <c r="N435" s="2"/>
    </row>
    <row r="436" spans="1:14" hidden="1" x14ac:dyDescent="0.25">
      <c r="A436" t="s">
        <v>52</v>
      </c>
      <c r="B436" t="s">
        <v>53</v>
      </c>
      <c r="C436" s="2">
        <v>50.39</v>
      </c>
      <c r="D436" s="1">
        <v>503.9</v>
      </c>
      <c r="E436" t="s">
        <v>3</v>
      </c>
      <c r="F436" s="2">
        <f t="shared" ref="F436:F446" si="33">(D436*G436)/100</f>
        <v>26.656309999999998</v>
      </c>
      <c r="G436" s="2">
        <v>5.29</v>
      </c>
    </row>
    <row r="437" spans="1:14" hidden="1" x14ac:dyDescent="0.25">
      <c r="A437" t="s">
        <v>52</v>
      </c>
      <c r="B437" t="s">
        <v>53</v>
      </c>
      <c r="C437" s="2">
        <v>50.39</v>
      </c>
      <c r="D437" s="1">
        <v>503.9</v>
      </c>
      <c r="E437" t="s">
        <v>238</v>
      </c>
      <c r="F437" s="2">
        <f t="shared" si="33"/>
        <v>25.698899999999998</v>
      </c>
      <c r="G437" s="2">
        <v>5.0999999999999996</v>
      </c>
    </row>
    <row r="438" spans="1:14" hidden="1" x14ac:dyDescent="0.25">
      <c r="A438" t="s">
        <v>52</v>
      </c>
      <c r="B438" t="s">
        <v>53</v>
      </c>
      <c r="C438" s="2">
        <v>50.39</v>
      </c>
      <c r="D438" s="1">
        <v>503.9</v>
      </c>
      <c r="E438" t="s">
        <v>87</v>
      </c>
      <c r="F438" s="2">
        <f t="shared" si="33"/>
        <v>18.493130000000001</v>
      </c>
      <c r="G438" s="2">
        <v>3.6700000000000004</v>
      </c>
    </row>
    <row r="439" spans="1:14" hidden="1" x14ac:dyDescent="0.25">
      <c r="A439" t="s">
        <v>52</v>
      </c>
      <c r="B439" t="s">
        <v>53</v>
      </c>
      <c r="C439" s="2">
        <v>50.39</v>
      </c>
      <c r="D439" s="1">
        <v>503.9</v>
      </c>
      <c r="E439" t="s">
        <v>4</v>
      </c>
      <c r="F439" s="2">
        <f t="shared" si="33"/>
        <v>16.1248</v>
      </c>
      <c r="G439" s="2">
        <v>3.2</v>
      </c>
    </row>
    <row r="440" spans="1:14" hidden="1" x14ac:dyDescent="0.25">
      <c r="A440" t="s">
        <v>52</v>
      </c>
      <c r="B440" t="s">
        <v>53</v>
      </c>
      <c r="C440" s="2">
        <v>50.39</v>
      </c>
      <c r="D440" s="1">
        <v>503.9</v>
      </c>
      <c r="E440" t="s">
        <v>148</v>
      </c>
      <c r="F440" s="2">
        <f t="shared" si="33"/>
        <v>14.26037</v>
      </c>
      <c r="G440" s="2">
        <v>2.83</v>
      </c>
    </row>
    <row r="441" spans="1:14" hidden="1" x14ac:dyDescent="0.25">
      <c r="A441" t="s">
        <v>52</v>
      </c>
      <c r="B441" t="s">
        <v>53</v>
      </c>
      <c r="C441" s="2">
        <v>50.39</v>
      </c>
      <c r="D441" s="1">
        <v>503.9</v>
      </c>
      <c r="E441" t="s">
        <v>239</v>
      </c>
      <c r="F441" s="2">
        <f t="shared" si="33"/>
        <v>13.907639999999999</v>
      </c>
      <c r="G441" s="2">
        <v>2.76</v>
      </c>
    </row>
    <row r="442" spans="1:14" hidden="1" x14ac:dyDescent="0.25">
      <c r="A442" t="s">
        <v>52</v>
      </c>
      <c r="B442" t="s">
        <v>53</v>
      </c>
      <c r="C442" s="2">
        <v>50.39</v>
      </c>
      <c r="D442" s="1">
        <v>503.9</v>
      </c>
      <c r="E442" t="s">
        <v>175</v>
      </c>
      <c r="F442" s="2">
        <f t="shared" si="33"/>
        <v>13.65569</v>
      </c>
      <c r="G442" s="2">
        <v>2.71</v>
      </c>
    </row>
    <row r="443" spans="1:14" hidden="1" x14ac:dyDescent="0.25">
      <c r="A443" t="s">
        <v>52</v>
      </c>
      <c r="B443" t="s">
        <v>53</v>
      </c>
      <c r="C443" s="2">
        <v>50.39</v>
      </c>
      <c r="D443" s="1">
        <v>503.9</v>
      </c>
      <c r="E443" t="s">
        <v>240</v>
      </c>
      <c r="F443" s="2">
        <f t="shared" si="33"/>
        <v>13.55491</v>
      </c>
      <c r="G443" s="2">
        <v>2.69</v>
      </c>
    </row>
    <row r="444" spans="1:14" hidden="1" x14ac:dyDescent="0.25">
      <c r="A444" t="s">
        <v>52</v>
      </c>
      <c r="B444" t="s">
        <v>53</v>
      </c>
      <c r="C444" s="2">
        <v>50.39</v>
      </c>
      <c r="D444" s="1">
        <v>503.9</v>
      </c>
      <c r="E444" t="s">
        <v>6</v>
      </c>
      <c r="F444" s="2">
        <f t="shared" si="33"/>
        <v>13.252569999999999</v>
      </c>
      <c r="G444" s="2">
        <v>2.63</v>
      </c>
    </row>
    <row r="445" spans="1:14" hidden="1" x14ac:dyDescent="0.25">
      <c r="A445" t="s">
        <v>52</v>
      </c>
      <c r="B445" t="s">
        <v>53</v>
      </c>
      <c r="C445" s="2">
        <v>50.39</v>
      </c>
      <c r="D445" s="1">
        <v>503.9</v>
      </c>
      <c r="E445" t="s">
        <v>241</v>
      </c>
      <c r="F445" s="2">
        <f t="shared" si="33"/>
        <v>12.69828</v>
      </c>
      <c r="G445" s="2">
        <v>2.52</v>
      </c>
    </row>
    <row r="446" spans="1:14" hidden="1" x14ac:dyDescent="0.25">
      <c r="A446" t="s">
        <v>52</v>
      </c>
      <c r="B446" t="s">
        <v>53</v>
      </c>
      <c r="C446" s="2">
        <v>50.39</v>
      </c>
      <c r="D446" s="1">
        <v>503.9</v>
      </c>
      <c r="E446" s="4" t="s">
        <v>96</v>
      </c>
      <c r="F446" s="2">
        <f t="shared" si="33"/>
        <v>23.88486</v>
      </c>
      <c r="G446" s="2">
        <v>4.74</v>
      </c>
      <c r="N446" s="2"/>
    </row>
    <row r="447" spans="1:14" x14ac:dyDescent="0.25">
      <c r="A447" t="str">
        <f>A446</f>
        <v>SMART INNOVATION FUND</v>
      </c>
      <c r="B447" t="s">
        <v>53</v>
      </c>
      <c r="C447" s="2">
        <v>50.39</v>
      </c>
      <c r="D447" s="1">
        <v>503.9</v>
      </c>
      <c r="E447" s="4" t="s">
        <v>8</v>
      </c>
      <c r="F447" s="2">
        <f ca="1">SUMIF(A:A,M447,F:F)</f>
        <v>192.18746000000002</v>
      </c>
      <c r="G447" s="2">
        <f ca="1">SUMIF(A:A,M447,G:G)</f>
        <v>38.140000000000008</v>
      </c>
      <c r="I447" s="2">
        <f ca="1">(D447*J447)/100</f>
        <v>311.71253999999993</v>
      </c>
      <c r="J447" s="2">
        <f ca="1">100-G447</f>
        <v>61.859999999999992</v>
      </c>
      <c r="K447" s="2">
        <f>D447/1000</f>
        <v>0.50390000000000001</v>
      </c>
      <c r="M447" t="str">
        <f>A446</f>
        <v>SMART INNOVATION FUND</v>
      </c>
    </row>
    <row r="448" spans="1:14" hidden="1" x14ac:dyDescent="0.25"/>
    <row r="449" spans="1:14" hidden="1" x14ac:dyDescent="0.25">
      <c r="A449" t="s">
        <v>54</v>
      </c>
      <c r="B449" t="s">
        <v>55</v>
      </c>
      <c r="C449" s="1">
        <v>5366.46</v>
      </c>
      <c r="D449" s="1">
        <v>53664.6</v>
      </c>
      <c r="E449" s="4" t="s">
        <v>117</v>
      </c>
      <c r="N449" s="2"/>
    </row>
    <row r="450" spans="1:14" hidden="1" x14ac:dyDescent="0.25">
      <c r="A450" t="s">
        <v>54</v>
      </c>
      <c r="B450" t="s">
        <v>55</v>
      </c>
      <c r="C450" s="1">
        <v>5366.46</v>
      </c>
      <c r="D450" s="1">
        <v>53664.6</v>
      </c>
      <c r="E450" t="s">
        <v>242</v>
      </c>
      <c r="F450" s="2">
        <f t="shared" ref="F450:F460" si="34">(D450*G450)/100</f>
        <v>5849.4413999999997</v>
      </c>
      <c r="G450" s="2">
        <v>10.9</v>
      </c>
    </row>
    <row r="451" spans="1:14" hidden="1" x14ac:dyDescent="0.25">
      <c r="A451" t="s">
        <v>54</v>
      </c>
      <c r="B451" t="s">
        <v>55</v>
      </c>
      <c r="C451" s="1">
        <v>5366.46</v>
      </c>
      <c r="D451" s="1">
        <v>53664.6</v>
      </c>
      <c r="E451" t="s">
        <v>243</v>
      </c>
      <c r="F451" s="2">
        <f t="shared" si="34"/>
        <v>4309.2673799999993</v>
      </c>
      <c r="G451" s="2">
        <v>8.0299999999999994</v>
      </c>
    </row>
    <row r="452" spans="1:14" hidden="1" x14ac:dyDescent="0.25">
      <c r="A452" t="s">
        <v>54</v>
      </c>
      <c r="B452" t="s">
        <v>55</v>
      </c>
      <c r="C452" s="1">
        <v>5366.46</v>
      </c>
      <c r="D452" s="1">
        <v>53664.6</v>
      </c>
      <c r="E452" t="s">
        <v>244</v>
      </c>
      <c r="F452" s="2">
        <f t="shared" si="34"/>
        <v>4277.0686199999991</v>
      </c>
      <c r="G452" s="2">
        <v>7.9699999999999989</v>
      </c>
    </row>
    <row r="453" spans="1:14" hidden="1" x14ac:dyDescent="0.25">
      <c r="A453" t="s">
        <v>54</v>
      </c>
      <c r="B453" t="s">
        <v>55</v>
      </c>
      <c r="C453" s="1">
        <v>5366.46</v>
      </c>
      <c r="D453" s="1">
        <v>53664.6</v>
      </c>
      <c r="E453" t="s">
        <v>245</v>
      </c>
      <c r="F453" s="2">
        <f t="shared" si="34"/>
        <v>2989.1182199999998</v>
      </c>
      <c r="G453" s="2">
        <v>5.57</v>
      </c>
    </row>
    <row r="454" spans="1:14" hidden="1" x14ac:dyDescent="0.25">
      <c r="A454" t="s">
        <v>54</v>
      </c>
      <c r="B454" t="s">
        <v>55</v>
      </c>
      <c r="C454" s="1">
        <v>5366.46</v>
      </c>
      <c r="D454" s="1">
        <v>53664.6</v>
      </c>
      <c r="E454" t="s">
        <v>246</v>
      </c>
      <c r="F454" s="2">
        <f t="shared" si="34"/>
        <v>2860.3231799999999</v>
      </c>
      <c r="G454" s="2">
        <v>5.33</v>
      </c>
    </row>
    <row r="455" spans="1:14" hidden="1" x14ac:dyDescent="0.25">
      <c r="A455" t="s">
        <v>54</v>
      </c>
      <c r="B455" t="s">
        <v>55</v>
      </c>
      <c r="C455" s="1">
        <v>5366.46</v>
      </c>
      <c r="D455" s="1">
        <v>53664.6</v>
      </c>
      <c r="E455" t="s">
        <v>247</v>
      </c>
      <c r="F455" s="2">
        <f t="shared" si="34"/>
        <v>2570.5343400000002</v>
      </c>
      <c r="G455" s="2">
        <v>4.79</v>
      </c>
    </row>
    <row r="456" spans="1:14" hidden="1" x14ac:dyDescent="0.25">
      <c r="A456" t="s">
        <v>54</v>
      </c>
      <c r="B456" t="s">
        <v>55</v>
      </c>
      <c r="C456" s="1">
        <v>5366.46</v>
      </c>
      <c r="D456" s="1">
        <v>53664.6</v>
      </c>
      <c r="E456" t="s">
        <v>248</v>
      </c>
      <c r="F456" s="2">
        <f t="shared" si="34"/>
        <v>2495.4039000000002</v>
      </c>
      <c r="G456" s="2">
        <v>4.6500000000000004</v>
      </c>
    </row>
    <row r="457" spans="1:14" hidden="1" x14ac:dyDescent="0.25">
      <c r="A457" t="s">
        <v>54</v>
      </c>
      <c r="B457" t="s">
        <v>55</v>
      </c>
      <c r="C457" s="1">
        <v>5366.46</v>
      </c>
      <c r="D457" s="1">
        <v>53664.6</v>
      </c>
      <c r="E457" t="s">
        <v>249</v>
      </c>
      <c r="F457" s="2">
        <f t="shared" si="34"/>
        <v>2377.3417799999997</v>
      </c>
      <c r="G457" s="2">
        <v>4.43</v>
      </c>
    </row>
    <row r="458" spans="1:14" hidden="1" x14ac:dyDescent="0.25">
      <c r="A458" t="s">
        <v>54</v>
      </c>
      <c r="B458" t="s">
        <v>55</v>
      </c>
      <c r="C458" s="1">
        <v>5366.46</v>
      </c>
      <c r="D458" s="1">
        <v>53664.6</v>
      </c>
      <c r="E458" t="s">
        <v>250</v>
      </c>
      <c r="F458" s="2">
        <f t="shared" si="34"/>
        <v>2334.4100999999996</v>
      </c>
      <c r="G458" s="2">
        <v>4.3499999999999996</v>
      </c>
    </row>
    <row r="459" spans="1:14" hidden="1" x14ac:dyDescent="0.25">
      <c r="A459" t="s">
        <v>54</v>
      </c>
      <c r="B459" t="s">
        <v>55</v>
      </c>
      <c r="C459" s="1">
        <v>5366.46</v>
      </c>
      <c r="D459" s="1">
        <v>53664.6</v>
      </c>
      <c r="E459" t="s">
        <v>251</v>
      </c>
      <c r="F459" s="2">
        <f t="shared" si="34"/>
        <v>2302.2113399999998</v>
      </c>
      <c r="G459" s="2">
        <v>4.29</v>
      </c>
    </row>
    <row r="460" spans="1:14" hidden="1" x14ac:dyDescent="0.25">
      <c r="A460" t="s">
        <v>54</v>
      </c>
      <c r="B460" t="s">
        <v>55</v>
      </c>
      <c r="C460" s="1">
        <v>5366.46</v>
      </c>
      <c r="D460" s="1">
        <v>53664.6</v>
      </c>
      <c r="E460" s="4" t="s">
        <v>96</v>
      </c>
      <c r="F460" s="2">
        <f t="shared" si="34"/>
        <v>10459.230539999999</v>
      </c>
      <c r="G460" s="2">
        <v>19.489999999999998</v>
      </c>
      <c r="N460" s="2"/>
    </row>
    <row r="461" spans="1:14" x14ac:dyDescent="0.25">
      <c r="A461" t="str">
        <f>A460</f>
        <v>DISCONTINUANCE FUND INDIVIDUAL</v>
      </c>
      <c r="B461" t="s">
        <v>55</v>
      </c>
      <c r="C461" s="1">
        <v>5366.46</v>
      </c>
      <c r="D461" s="1">
        <v>53664.6</v>
      </c>
      <c r="E461" s="4" t="s">
        <v>8</v>
      </c>
      <c r="F461" s="2">
        <f ca="1">SUMIF(A:A,M461,F:F)</f>
        <v>42824.3508</v>
      </c>
      <c r="G461" s="2">
        <f ca="1">SUMIF(A:A,M461,G:G)</f>
        <v>79.8</v>
      </c>
      <c r="I461" s="2">
        <f ca="1">(D461*J461)/100</f>
        <v>10840.249200000002</v>
      </c>
      <c r="J461" s="2">
        <f ca="1">100-G461</f>
        <v>20.200000000000003</v>
      </c>
      <c r="K461" s="2">
        <f>D461/1000</f>
        <v>53.6646</v>
      </c>
      <c r="M461" t="str">
        <f>A460</f>
        <v>DISCONTINUANCE FUND INDIVIDUAL</v>
      </c>
    </row>
    <row r="462" spans="1:14" hidden="1" x14ac:dyDescent="0.25"/>
    <row r="463" spans="1:14" hidden="1" x14ac:dyDescent="0.25">
      <c r="A463" t="s">
        <v>56</v>
      </c>
      <c r="B463" t="s">
        <v>57</v>
      </c>
      <c r="C463" s="2">
        <v>230.99</v>
      </c>
      <c r="D463" s="1">
        <v>2309.9</v>
      </c>
      <c r="E463" s="4" t="s">
        <v>93</v>
      </c>
      <c r="N463" s="2"/>
    </row>
    <row r="464" spans="1:14" hidden="1" x14ac:dyDescent="0.25">
      <c r="A464" t="s">
        <v>56</v>
      </c>
      <c r="B464" t="s">
        <v>57</v>
      </c>
      <c r="C464" s="2">
        <v>230.99</v>
      </c>
      <c r="D464" s="1">
        <v>2309.9</v>
      </c>
      <c r="E464" t="s">
        <v>4</v>
      </c>
      <c r="F464" s="2">
        <f t="shared" ref="F464:F474" si="35">(D464*G464)/100</f>
        <v>193.10764</v>
      </c>
      <c r="G464" s="2">
        <v>8.36</v>
      </c>
    </row>
    <row r="465" spans="1:14" hidden="1" x14ac:dyDescent="0.25">
      <c r="A465" t="s">
        <v>56</v>
      </c>
      <c r="B465" t="s">
        <v>57</v>
      </c>
      <c r="C465" s="2">
        <v>230.99</v>
      </c>
      <c r="D465" s="1">
        <v>2309.9</v>
      </c>
      <c r="E465" t="s">
        <v>3</v>
      </c>
      <c r="F465" s="2">
        <f t="shared" si="35"/>
        <v>161.92399</v>
      </c>
      <c r="G465" s="2">
        <v>7.01</v>
      </c>
    </row>
    <row r="466" spans="1:14" hidden="1" x14ac:dyDescent="0.25">
      <c r="A466" t="s">
        <v>56</v>
      </c>
      <c r="B466" t="s">
        <v>57</v>
      </c>
      <c r="C466" s="2">
        <v>230.99</v>
      </c>
      <c r="D466" s="1">
        <v>2309.9</v>
      </c>
      <c r="E466" t="s">
        <v>2</v>
      </c>
      <c r="F466" s="2">
        <f t="shared" si="35"/>
        <v>139.28697000000003</v>
      </c>
      <c r="G466" s="2">
        <v>6.03</v>
      </c>
    </row>
    <row r="467" spans="1:14" hidden="1" x14ac:dyDescent="0.25">
      <c r="A467" t="s">
        <v>56</v>
      </c>
      <c r="B467" t="s">
        <v>57</v>
      </c>
      <c r="C467" s="2">
        <v>230.99</v>
      </c>
      <c r="D467" s="1">
        <v>2309.9</v>
      </c>
      <c r="E467" t="s">
        <v>148</v>
      </c>
      <c r="F467" s="2">
        <f t="shared" si="35"/>
        <v>138.13201999999998</v>
      </c>
      <c r="G467" s="2">
        <v>5.9799999999999995</v>
      </c>
    </row>
    <row r="468" spans="1:14" hidden="1" x14ac:dyDescent="0.25">
      <c r="A468" t="s">
        <v>56</v>
      </c>
      <c r="B468" t="s">
        <v>57</v>
      </c>
      <c r="C468" s="2">
        <v>230.99</v>
      </c>
      <c r="D468" s="1">
        <v>2309.9</v>
      </c>
      <c r="E468" t="s">
        <v>7</v>
      </c>
      <c r="F468" s="2">
        <f t="shared" si="35"/>
        <v>106.25539999999999</v>
      </c>
      <c r="G468" s="2">
        <v>4.5999999999999996</v>
      </c>
    </row>
    <row r="469" spans="1:14" hidden="1" x14ac:dyDescent="0.25">
      <c r="A469" t="s">
        <v>56</v>
      </c>
      <c r="B469" t="s">
        <v>57</v>
      </c>
      <c r="C469" s="2">
        <v>230.99</v>
      </c>
      <c r="D469" s="1">
        <v>2309.9</v>
      </c>
      <c r="E469" t="s">
        <v>252</v>
      </c>
      <c r="F469" s="2">
        <f t="shared" si="35"/>
        <v>99.094710000000021</v>
      </c>
      <c r="G469" s="2">
        <v>4.29</v>
      </c>
    </row>
    <row r="470" spans="1:14" hidden="1" x14ac:dyDescent="0.25">
      <c r="A470" t="s">
        <v>56</v>
      </c>
      <c r="B470" t="s">
        <v>57</v>
      </c>
      <c r="C470" s="2">
        <v>230.99</v>
      </c>
      <c r="D470" s="1">
        <v>2309.9</v>
      </c>
      <c r="E470" t="s">
        <v>253</v>
      </c>
      <c r="F470" s="2">
        <f t="shared" si="35"/>
        <v>94.012930000000011</v>
      </c>
      <c r="G470" s="2">
        <v>4.07</v>
      </c>
    </row>
    <row r="471" spans="1:14" hidden="1" x14ac:dyDescent="0.25">
      <c r="A471" t="s">
        <v>56</v>
      </c>
      <c r="B471" t="s">
        <v>57</v>
      </c>
      <c r="C471" s="2">
        <v>230.99</v>
      </c>
      <c r="D471" s="1">
        <v>2309.9</v>
      </c>
      <c r="E471" t="s">
        <v>87</v>
      </c>
      <c r="F471" s="2">
        <f t="shared" si="35"/>
        <v>92.626990000000006</v>
      </c>
      <c r="G471" s="2">
        <v>4.01</v>
      </c>
    </row>
    <row r="472" spans="1:14" hidden="1" x14ac:dyDescent="0.25">
      <c r="A472" t="s">
        <v>56</v>
      </c>
      <c r="B472" t="s">
        <v>57</v>
      </c>
      <c r="C472" s="2">
        <v>230.99</v>
      </c>
      <c r="D472" s="1">
        <v>2309.9</v>
      </c>
      <c r="E472" t="s">
        <v>174</v>
      </c>
      <c r="F472" s="2">
        <f t="shared" si="35"/>
        <v>89.85511000000001</v>
      </c>
      <c r="G472" s="2">
        <v>3.8899999999999997</v>
      </c>
    </row>
    <row r="473" spans="1:14" hidden="1" x14ac:dyDescent="0.25">
      <c r="A473" t="s">
        <v>56</v>
      </c>
      <c r="B473" t="s">
        <v>57</v>
      </c>
      <c r="C473" s="2">
        <v>230.99</v>
      </c>
      <c r="D473" s="1">
        <v>2309.9</v>
      </c>
      <c r="E473" t="s">
        <v>189</v>
      </c>
      <c r="F473" s="2">
        <f t="shared" si="35"/>
        <v>89.624120000000005</v>
      </c>
      <c r="G473" s="2">
        <v>3.88</v>
      </c>
    </row>
    <row r="474" spans="1:14" hidden="1" x14ac:dyDescent="0.25">
      <c r="A474" t="s">
        <v>56</v>
      </c>
      <c r="B474" t="s">
        <v>57</v>
      </c>
      <c r="C474" s="2">
        <v>230.99</v>
      </c>
      <c r="D474" s="1">
        <v>2309.9</v>
      </c>
      <c r="E474" s="4" t="s">
        <v>96</v>
      </c>
      <c r="F474" s="2">
        <f t="shared" si="35"/>
        <v>26.563849999999999</v>
      </c>
      <c r="G474" s="2">
        <v>1.1499999999999999</v>
      </c>
      <c r="N474" s="2"/>
    </row>
    <row r="475" spans="1:14" x14ac:dyDescent="0.25">
      <c r="A475" t="str">
        <f>A474</f>
        <v>UL PENSION GROWTH SUPER FUND</v>
      </c>
      <c r="B475" t="s">
        <v>57</v>
      </c>
      <c r="C475" s="2">
        <v>230.99</v>
      </c>
      <c r="D475" s="1">
        <v>2309.9</v>
      </c>
      <c r="E475" s="4" t="s">
        <v>8</v>
      </c>
      <c r="F475" s="2">
        <f ca="1">SUMIF(A:A,M475,F:F)</f>
        <v>1230.4837300000002</v>
      </c>
      <c r="G475" s="2">
        <f ca="1">SUMIF(A:A,M475,G:G)</f>
        <v>53.269999999999996</v>
      </c>
      <c r="I475" s="2">
        <f ca="1">(D475*J475)/100</f>
        <v>1079.4162700000002</v>
      </c>
      <c r="J475" s="2">
        <f ca="1">100-G475</f>
        <v>46.730000000000004</v>
      </c>
      <c r="K475" s="2">
        <f>D475/1000</f>
        <v>2.3099000000000003</v>
      </c>
      <c r="M475" t="str">
        <f>A474</f>
        <v>UL PENSION GROWTH SUPER FUND</v>
      </c>
    </row>
    <row r="476" spans="1:14" hidden="1" x14ac:dyDescent="0.25"/>
    <row r="477" spans="1:14" hidden="1" x14ac:dyDescent="0.25">
      <c r="A477" t="s">
        <v>58</v>
      </c>
      <c r="B477" t="s">
        <v>59</v>
      </c>
      <c r="C477" s="2">
        <v>216.71</v>
      </c>
      <c r="D477" s="1">
        <v>2167.1</v>
      </c>
      <c r="E477" s="4" t="s">
        <v>93</v>
      </c>
      <c r="N477" s="2"/>
    </row>
    <row r="478" spans="1:14" hidden="1" x14ac:dyDescent="0.25">
      <c r="A478" t="s">
        <v>58</v>
      </c>
      <c r="B478" t="s">
        <v>59</v>
      </c>
      <c r="C478" s="2">
        <v>216.71</v>
      </c>
      <c r="D478" s="1">
        <v>2167.1</v>
      </c>
      <c r="E478" t="s">
        <v>4</v>
      </c>
      <c r="F478" s="2">
        <f t="shared" ref="F478:F487" si="36">(D478*G478)/100</f>
        <v>136.5273</v>
      </c>
      <c r="G478" s="2">
        <v>6.3</v>
      </c>
    </row>
    <row r="479" spans="1:14" hidden="1" x14ac:dyDescent="0.25">
      <c r="A479" t="s">
        <v>58</v>
      </c>
      <c r="B479" t="s">
        <v>59</v>
      </c>
      <c r="C479" s="2">
        <v>216.71</v>
      </c>
      <c r="D479" s="1">
        <v>2167.1</v>
      </c>
      <c r="E479" t="s">
        <v>2</v>
      </c>
      <c r="F479" s="2">
        <f t="shared" si="36"/>
        <v>96.219240000000013</v>
      </c>
      <c r="G479" s="2">
        <v>4.4400000000000004</v>
      </c>
    </row>
    <row r="480" spans="1:14" hidden="1" x14ac:dyDescent="0.25">
      <c r="A480" t="s">
        <v>58</v>
      </c>
      <c r="B480" t="s">
        <v>59</v>
      </c>
      <c r="C480" s="2">
        <v>216.71</v>
      </c>
      <c r="D480" s="1">
        <v>2167.1</v>
      </c>
      <c r="E480" t="s">
        <v>138</v>
      </c>
      <c r="F480" s="2">
        <f t="shared" si="36"/>
        <v>81.049539999999993</v>
      </c>
      <c r="G480" s="2">
        <v>3.74</v>
      </c>
    </row>
    <row r="481" spans="1:7" hidden="1" x14ac:dyDescent="0.25">
      <c r="A481" t="s">
        <v>58</v>
      </c>
      <c r="B481" t="s">
        <v>59</v>
      </c>
      <c r="C481" s="2">
        <v>216.71</v>
      </c>
      <c r="D481" s="1">
        <v>2167.1</v>
      </c>
      <c r="E481" t="s">
        <v>3</v>
      </c>
      <c r="F481" s="2">
        <f t="shared" si="36"/>
        <v>74.764949999999999</v>
      </c>
      <c r="G481" s="2">
        <v>3.45</v>
      </c>
    </row>
    <row r="482" spans="1:7" hidden="1" x14ac:dyDescent="0.25">
      <c r="A482" t="s">
        <v>58</v>
      </c>
      <c r="B482" t="s">
        <v>59</v>
      </c>
      <c r="C482" s="2">
        <v>216.71</v>
      </c>
      <c r="D482" s="1">
        <v>2167.1</v>
      </c>
      <c r="E482" t="s">
        <v>148</v>
      </c>
      <c r="F482" s="2">
        <f t="shared" si="36"/>
        <v>66.746679999999998</v>
      </c>
      <c r="G482" s="2">
        <v>3.08</v>
      </c>
    </row>
    <row r="483" spans="1:7" hidden="1" x14ac:dyDescent="0.25">
      <c r="A483" t="s">
        <v>58</v>
      </c>
      <c r="B483" t="s">
        <v>59</v>
      </c>
      <c r="C483" s="2">
        <v>216.71</v>
      </c>
      <c r="D483" s="1">
        <v>2167.1</v>
      </c>
      <c r="E483" t="s">
        <v>87</v>
      </c>
      <c r="F483" s="2">
        <f t="shared" si="36"/>
        <v>57.861569999999993</v>
      </c>
      <c r="G483" s="2">
        <v>2.67</v>
      </c>
    </row>
    <row r="484" spans="1:7" hidden="1" x14ac:dyDescent="0.25">
      <c r="A484" t="s">
        <v>58</v>
      </c>
      <c r="B484" t="s">
        <v>59</v>
      </c>
      <c r="C484" s="2">
        <v>216.71</v>
      </c>
      <c r="D484" s="1">
        <v>2167.1</v>
      </c>
      <c r="E484" t="s">
        <v>7</v>
      </c>
      <c r="F484" s="2">
        <f t="shared" si="36"/>
        <v>49.626589999999993</v>
      </c>
      <c r="G484" s="2">
        <v>2.29</v>
      </c>
    </row>
    <row r="485" spans="1:7" hidden="1" x14ac:dyDescent="0.25">
      <c r="A485" t="s">
        <v>58</v>
      </c>
      <c r="B485" t="s">
        <v>59</v>
      </c>
      <c r="C485" s="2">
        <v>216.71</v>
      </c>
      <c r="D485" s="1">
        <v>2167.1</v>
      </c>
      <c r="E485" t="s">
        <v>174</v>
      </c>
      <c r="F485" s="2">
        <f t="shared" si="36"/>
        <v>42.041739999999997</v>
      </c>
      <c r="G485" s="2">
        <v>1.94</v>
      </c>
    </row>
    <row r="486" spans="1:7" hidden="1" x14ac:dyDescent="0.25">
      <c r="A486" t="s">
        <v>58</v>
      </c>
      <c r="B486" t="s">
        <v>59</v>
      </c>
      <c r="C486" s="2">
        <v>216.71</v>
      </c>
      <c r="D486" s="1">
        <v>2167.1</v>
      </c>
      <c r="E486" t="s">
        <v>97</v>
      </c>
      <c r="F486" s="2">
        <f t="shared" si="36"/>
        <v>35.540440000000004</v>
      </c>
      <c r="G486" s="2">
        <v>1.6400000000000001</v>
      </c>
    </row>
    <row r="487" spans="1:7" hidden="1" x14ac:dyDescent="0.25">
      <c r="A487" t="s">
        <v>58</v>
      </c>
      <c r="B487" t="s">
        <v>59</v>
      </c>
      <c r="C487" s="2">
        <v>216.71</v>
      </c>
      <c r="D487" s="1">
        <v>2167.1</v>
      </c>
      <c r="E487" t="s">
        <v>175</v>
      </c>
      <c r="F487" s="2">
        <f t="shared" si="36"/>
        <v>34.023469999999996</v>
      </c>
      <c r="G487" s="2">
        <v>1.5699999999999998</v>
      </c>
    </row>
    <row r="488" spans="1:7" hidden="1" x14ac:dyDescent="0.25">
      <c r="A488" t="s">
        <v>58</v>
      </c>
      <c r="B488" t="s">
        <v>59</v>
      </c>
      <c r="C488" s="2">
        <v>216.71</v>
      </c>
      <c r="D488" s="1">
        <v>2167.1</v>
      </c>
      <c r="E488" s="4" t="s">
        <v>117</v>
      </c>
    </row>
    <row r="489" spans="1:7" hidden="1" x14ac:dyDescent="0.25">
      <c r="A489" t="s">
        <v>58</v>
      </c>
      <c r="B489" t="s">
        <v>59</v>
      </c>
      <c r="C489" s="2">
        <v>216.71</v>
      </c>
      <c r="D489" s="1">
        <v>2167.1</v>
      </c>
      <c r="E489" s="2" t="s">
        <v>123</v>
      </c>
      <c r="F489" s="2">
        <f t="shared" ref="F489:F498" si="37">(D489*G489)/100</f>
        <v>140.42807999999999</v>
      </c>
      <c r="G489" s="2">
        <v>6.4799999999999995</v>
      </c>
    </row>
    <row r="490" spans="1:7" hidden="1" x14ac:dyDescent="0.25">
      <c r="A490" t="s">
        <v>58</v>
      </c>
      <c r="B490" t="s">
        <v>59</v>
      </c>
      <c r="C490" s="2">
        <v>216.71</v>
      </c>
      <c r="D490" s="1">
        <v>2167.1</v>
      </c>
      <c r="E490" s="2" t="s">
        <v>118</v>
      </c>
      <c r="F490" s="2">
        <f t="shared" si="37"/>
        <v>131.75968</v>
      </c>
      <c r="G490" s="2">
        <v>6.08</v>
      </c>
    </row>
    <row r="491" spans="1:7" hidden="1" x14ac:dyDescent="0.25">
      <c r="A491" t="s">
        <v>58</v>
      </c>
      <c r="B491" t="s">
        <v>59</v>
      </c>
      <c r="C491" s="2">
        <v>216.71</v>
      </c>
      <c r="D491" s="1">
        <v>2167.1</v>
      </c>
      <c r="E491" s="2" t="s">
        <v>156</v>
      </c>
      <c r="F491" s="2">
        <f t="shared" si="37"/>
        <v>90.801490000000015</v>
      </c>
      <c r="G491" s="2">
        <v>4.1900000000000004</v>
      </c>
    </row>
    <row r="492" spans="1:7" hidden="1" x14ac:dyDescent="0.25">
      <c r="A492" t="s">
        <v>58</v>
      </c>
      <c r="B492" t="s">
        <v>59</v>
      </c>
      <c r="C492" s="2">
        <v>216.71</v>
      </c>
      <c r="D492" s="1">
        <v>2167.1</v>
      </c>
      <c r="E492" s="2" t="s">
        <v>120</v>
      </c>
      <c r="F492" s="2">
        <f t="shared" si="37"/>
        <v>74.114819999999995</v>
      </c>
      <c r="G492" s="2">
        <v>3.42</v>
      </c>
    </row>
    <row r="493" spans="1:7" hidden="1" x14ac:dyDescent="0.25">
      <c r="A493" t="s">
        <v>58</v>
      </c>
      <c r="B493" t="s">
        <v>59</v>
      </c>
      <c r="C493" s="2">
        <v>216.71</v>
      </c>
      <c r="D493" s="1">
        <v>2167.1</v>
      </c>
      <c r="E493" s="2" t="s">
        <v>121</v>
      </c>
      <c r="F493" s="2">
        <f t="shared" si="37"/>
        <v>53.744079999999997</v>
      </c>
      <c r="G493" s="2">
        <v>2.48</v>
      </c>
    </row>
    <row r="494" spans="1:7" hidden="1" x14ac:dyDescent="0.25">
      <c r="A494" t="s">
        <v>58</v>
      </c>
      <c r="B494" t="s">
        <v>59</v>
      </c>
      <c r="C494" s="2">
        <v>216.71</v>
      </c>
      <c r="D494" s="1">
        <v>2167.1</v>
      </c>
      <c r="E494" s="2" t="s">
        <v>124</v>
      </c>
      <c r="F494" s="2">
        <f t="shared" si="37"/>
        <v>39.224510000000002</v>
      </c>
      <c r="G494" s="2">
        <v>1.81</v>
      </c>
    </row>
    <row r="495" spans="1:7" hidden="1" x14ac:dyDescent="0.25">
      <c r="A495" t="s">
        <v>58</v>
      </c>
      <c r="B495" t="s">
        <v>59</v>
      </c>
      <c r="C495" s="2">
        <v>216.71</v>
      </c>
      <c r="D495" s="1">
        <v>2167.1</v>
      </c>
      <c r="E495" s="2" t="s">
        <v>176</v>
      </c>
      <c r="F495" s="2">
        <f t="shared" si="37"/>
        <v>37.924250000000001</v>
      </c>
      <c r="G495" s="2">
        <v>1.7500000000000002</v>
      </c>
    </row>
    <row r="496" spans="1:7" hidden="1" x14ac:dyDescent="0.25">
      <c r="A496" t="s">
        <v>58</v>
      </c>
      <c r="B496" t="s">
        <v>59</v>
      </c>
      <c r="C496" s="2">
        <v>216.71</v>
      </c>
      <c r="D496" s="1">
        <v>2167.1</v>
      </c>
      <c r="E496" s="2" t="s">
        <v>139</v>
      </c>
      <c r="F496" s="2">
        <f t="shared" si="37"/>
        <v>11.919049999999997</v>
      </c>
      <c r="G496" s="2">
        <v>0.54999999999999993</v>
      </c>
    </row>
    <row r="497" spans="1:14" hidden="1" x14ac:dyDescent="0.25">
      <c r="A497" t="s">
        <v>58</v>
      </c>
      <c r="B497" t="s">
        <v>59</v>
      </c>
      <c r="C497" s="2">
        <v>216.71</v>
      </c>
      <c r="D497" s="1">
        <v>2167.1</v>
      </c>
      <c r="E497" s="2" t="s">
        <v>125</v>
      </c>
      <c r="F497" s="2">
        <f t="shared" si="37"/>
        <v>6.7180099999999996</v>
      </c>
      <c r="G497" s="2">
        <v>0.31</v>
      </c>
    </row>
    <row r="498" spans="1:14" hidden="1" x14ac:dyDescent="0.25">
      <c r="A498" t="s">
        <v>58</v>
      </c>
      <c r="B498" t="s">
        <v>59</v>
      </c>
      <c r="C498" s="2">
        <v>216.71</v>
      </c>
      <c r="D498" s="1">
        <v>2167.1</v>
      </c>
      <c r="E498" s="2" t="s">
        <v>254</v>
      </c>
      <c r="F498" s="2">
        <f t="shared" si="37"/>
        <v>4.76762</v>
      </c>
      <c r="G498" s="2">
        <v>0.22</v>
      </c>
    </row>
    <row r="499" spans="1:14" hidden="1" x14ac:dyDescent="0.25">
      <c r="A499" t="s">
        <v>58</v>
      </c>
      <c r="B499" t="s">
        <v>59</v>
      </c>
      <c r="C499" s="2">
        <v>216.71</v>
      </c>
      <c r="D499" s="1">
        <v>2167.1</v>
      </c>
      <c r="E499" s="5" t="s">
        <v>126</v>
      </c>
    </row>
    <row r="500" spans="1:14" hidden="1" x14ac:dyDescent="0.25">
      <c r="A500" t="s">
        <v>58</v>
      </c>
      <c r="B500" t="s">
        <v>59</v>
      </c>
      <c r="C500" s="2">
        <v>216.71</v>
      </c>
      <c r="D500" s="1">
        <v>2167.1</v>
      </c>
      <c r="E500" s="2" t="s">
        <v>133</v>
      </c>
      <c r="F500" s="2">
        <f t="shared" ref="F500:F510" si="38">(D500*G500)/100</f>
        <v>86.900710000000004</v>
      </c>
      <c r="G500" s="2">
        <v>4.01</v>
      </c>
    </row>
    <row r="501" spans="1:14" hidden="1" x14ac:dyDescent="0.25">
      <c r="A501" t="s">
        <v>58</v>
      </c>
      <c r="B501" t="s">
        <v>59</v>
      </c>
      <c r="C501" s="2">
        <v>216.71</v>
      </c>
      <c r="D501" s="1">
        <v>2167.1</v>
      </c>
      <c r="E501" s="2" t="s">
        <v>143</v>
      </c>
      <c r="F501" s="2">
        <f t="shared" si="38"/>
        <v>58.728409999999997</v>
      </c>
      <c r="G501" s="2">
        <v>2.71</v>
      </c>
    </row>
    <row r="502" spans="1:14" hidden="1" x14ac:dyDescent="0.25">
      <c r="A502" t="s">
        <v>58</v>
      </c>
      <c r="B502" t="s">
        <v>59</v>
      </c>
      <c r="C502" s="2">
        <v>216.71</v>
      </c>
      <c r="D502" s="1">
        <v>2167.1</v>
      </c>
      <c r="E502" s="2" t="s">
        <v>199</v>
      </c>
      <c r="F502" s="2">
        <f t="shared" si="38"/>
        <v>50.710139999999996</v>
      </c>
      <c r="G502" s="2">
        <v>2.34</v>
      </c>
    </row>
    <row r="503" spans="1:14" hidden="1" x14ac:dyDescent="0.25">
      <c r="A503" t="s">
        <v>58</v>
      </c>
      <c r="B503" t="s">
        <v>59</v>
      </c>
      <c r="C503" s="2">
        <v>216.71</v>
      </c>
      <c r="D503" s="1">
        <v>2167.1</v>
      </c>
      <c r="E503" s="2" t="s">
        <v>165</v>
      </c>
      <c r="F503" s="2">
        <f t="shared" si="38"/>
        <v>49.843299999999992</v>
      </c>
      <c r="G503" s="2">
        <v>2.2999999999999998</v>
      </c>
    </row>
    <row r="504" spans="1:14" hidden="1" x14ac:dyDescent="0.25">
      <c r="A504" t="s">
        <v>58</v>
      </c>
      <c r="B504" t="s">
        <v>59</v>
      </c>
      <c r="C504" s="2">
        <v>216.71</v>
      </c>
      <c r="D504" s="1">
        <v>2167.1</v>
      </c>
      <c r="E504" s="2" t="s">
        <v>136</v>
      </c>
      <c r="F504" s="2">
        <f t="shared" si="38"/>
        <v>48.759749999999997</v>
      </c>
      <c r="G504" s="2">
        <v>2.25</v>
      </c>
    </row>
    <row r="505" spans="1:14" hidden="1" x14ac:dyDescent="0.25">
      <c r="A505" t="s">
        <v>58</v>
      </c>
      <c r="B505" t="s">
        <v>59</v>
      </c>
      <c r="C505" s="2">
        <v>216.71</v>
      </c>
      <c r="D505" s="1">
        <v>2167.1</v>
      </c>
      <c r="E505" s="2" t="s">
        <v>255</v>
      </c>
      <c r="F505" s="2">
        <f t="shared" si="38"/>
        <v>33.806759999999997</v>
      </c>
      <c r="G505" s="2">
        <v>1.5599999999999998</v>
      </c>
    </row>
    <row r="506" spans="1:14" hidden="1" x14ac:dyDescent="0.25">
      <c r="A506" t="s">
        <v>58</v>
      </c>
      <c r="B506" t="s">
        <v>59</v>
      </c>
      <c r="C506" s="2">
        <v>216.71</v>
      </c>
      <c r="D506" s="1">
        <v>2167.1</v>
      </c>
      <c r="E506" s="2" t="s">
        <v>134</v>
      </c>
      <c r="F506" s="2">
        <f t="shared" si="38"/>
        <v>24.271519999999995</v>
      </c>
      <c r="G506" s="2">
        <v>1.1199999999999999</v>
      </c>
    </row>
    <row r="507" spans="1:14" hidden="1" x14ac:dyDescent="0.25">
      <c r="A507" t="s">
        <v>58</v>
      </c>
      <c r="B507" t="s">
        <v>59</v>
      </c>
      <c r="C507" s="2">
        <v>216.71</v>
      </c>
      <c r="D507" s="1">
        <v>2167.1</v>
      </c>
      <c r="E507" s="2" t="s">
        <v>178</v>
      </c>
      <c r="F507" s="2">
        <f t="shared" si="38"/>
        <v>20.370740000000001</v>
      </c>
      <c r="G507" s="2">
        <v>0.94000000000000006</v>
      </c>
    </row>
    <row r="508" spans="1:14" hidden="1" x14ac:dyDescent="0.25">
      <c r="A508" t="s">
        <v>58</v>
      </c>
      <c r="B508" t="s">
        <v>59</v>
      </c>
      <c r="C508" s="2">
        <v>216.71</v>
      </c>
      <c r="D508" s="1">
        <v>2167.1</v>
      </c>
      <c r="E508" s="2" t="s">
        <v>256</v>
      </c>
      <c r="F508" s="2">
        <f t="shared" si="38"/>
        <v>14.302860000000001</v>
      </c>
      <c r="G508" s="2">
        <v>0.66</v>
      </c>
    </row>
    <row r="509" spans="1:14" hidden="1" x14ac:dyDescent="0.25">
      <c r="A509" t="s">
        <v>58</v>
      </c>
      <c r="B509" t="s">
        <v>59</v>
      </c>
      <c r="C509" s="2">
        <v>216.71</v>
      </c>
      <c r="D509" s="1">
        <v>2167.1</v>
      </c>
      <c r="E509" s="2" t="s">
        <v>164</v>
      </c>
      <c r="F509" s="2">
        <f t="shared" si="38"/>
        <v>11.268920000000001</v>
      </c>
      <c r="G509" s="2">
        <v>0.52</v>
      </c>
    </row>
    <row r="510" spans="1:14" hidden="1" x14ac:dyDescent="0.25">
      <c r="A510" t="s">
        <v>58</v>
      </c>
      <c r="B510" t="s">
        <v>59</v>
      </c>
      <c r="C510" s="2">
        <v>216.71</v>
      </c>
      <c r="D510" s="1">
        <v>2167.1</v>
      </c>
      <c r="E510" s="4" t="s">
        <v>96</v>
      </c>
      <c r="F510" s="2">
        <f t="shared" si="38"/>
        <v>46.592649999999992</v>
      </c>
      <c r="G510" s="2">
        <v>2.15</v>
      </c>
      <c r="N510" s="2"/>
    </row>
    <row r="511" spans="1:14" x14ac:dyDescent="0.25">
      <c r="A511" t="str">
        <f>A510</f>
        <v>PENSION LIFE GROWTH FUND</v>
      </c>
      <c r="B511" t="s">
        <v>59</v>
      </c>
      <c r="C511" s="2">
        <v>216.71</v>
      </c>
      <c r="D511" s="1">
        <v>2167.1</v>
      </c>
      <c r="E511" s="4" t="s">
        <v>8</v>
      </c>
      <c r="F511" s="2">
        <f ca="1">SUMIF(A:A,M511,F:F)</f>
        <v>1711.35887</v>
      </c>
      <c r="G511" s="2">
        <f ca="1">SUMIF(A:A,M511,G:G)</f>
        <v>78.97</v>
      </c>
      <c r="I511" s="2">
        <f ca="1">(D511*J511)/100</f>
        <v>455.74113</v>
      </c>
      <c r="J511" s="2">
        <f ca="1">100-G511</f>
        <v>21.03</v>
      </c>
      <c r="K511" s="2">
        <f>D511/1000</f>
        <v>2.1671</v>
      </c>
      <c r="M511" t="str">
        <f>A510</f>
        <v>PENSION LIFE GROWTH FUND</v>
      </c>
    </row>
    <row r="512" spans="1:14" hidden="1" x14ac:dyDescent="0.25"/>
    <row r="513" spans="1:14" hidden="1" x14ac:dyDescent="0.25">
      <c r="A513" t="s">
        <v>60</v>
      </c>
      <c r="B513" t="s">
        <v>61</v>
      </c>
      <c r="C513" s="2">
        <v>453.46</v>
      </c>
      <c r="D513" s="1">
        <v>4534.5999999999995</v>
      </c>
      <c r="E513" s="4" t="s">
        <v>93</v>
      </c>
      <c r="N513" s="2"/>
    </row>
    <row r="514" spans="1:14" hidden="1" x14ac:dyDescent="0.25">
      <c r="A514" t="s">
        <v>60</v>
      </c>
      <c r="B514" t="s">
        <v>61</v>
      </c>
      <c r="C514" s="2">
        <v>453.46</v>
      </c>
      <c r="D514" s="1">
        <v>4534.5999999999995</v>
      </c>
      <c r="E514" t="s">
        <v>2</v>
      </c>
      <c r="F514" s="2">
        <f t="shared" ref="F514:F523" si="39">(D514*G514)/100</f>
        <v>198.61547999999999</v>
      </c>
      <c r="G514" s="2">
        <v>4.38</v>
      </c>
    </row>
    <row r="515" spans="1:14" hidden="1" x14ac:dyDescent="0.25">
      <c r="A515" t="s">
        <v>60</v>
      </c>
      <c r="B515" t="s">
        <v>61</v>
      </c>
      <c r="C515" s="2">
        <v>453.46</v>
      </c>
      <c r="D515" s="1">
        <v>4534.5999999999995</v>
      </c>
      <c r="E515" t="s">
        <v>4</v>
      </c>
      <c r="F515" s="2">
        <f t="shared" si="39"/>
        <v>192.26703999999998</v>
      </c>
      <c r="G515" s="2">
        <v>4.24</v>
      </c>
    </row>
    <row r="516" spans="1:14" hidden="1" x14ac:dyDescent="0.25">
      <c r="A516" t="s">
        <v>60</v>
      </c>
      <c r="B516" t="s">
        <v>61</v>
      </c>
      <c r="C516" s="2">
        <v>453.46</v>
      </c>
      <c r="D516" s="1">
        <v>4534.5999999999995</v>
      </c>
      <c r="E516" t="s">
        <v>138</v>
      </c>
      <c r="F516" s="2">
        <f t="shared" si="39"/>
        <v>188.1859</v>
      </c>
      <c r="G516" s="2">
        <v>4.1500000000000004</v>
      </c>
    </row>
    <row r="517" spans="1:14" hidden="1" x14ac:dyDescent="0.25">
      <c r="A517" t="s">
        <v>60</v>
      </c>
      <c r="B517" t="s">
        <v>61</v>
      </c>
      <c r="C517" s="2">
        <v>453.46</v>
      </c>
      <c r="D517" s="1">
        <v>4534.5999999999995</v>
      </c>
      <c r="E517" t="s">
        <v>3</v>
      </c>
      <c r="F517" s="2">
        <f t="shared" si="39"/>
        <v>163.24559999999997</v>
      </c>
      <c r="G517" s="2">
        <v>3.5999999999999996</v>
      </c>
    </row>
    <row r="518" spans="1:14" hidden="1" x14ac:dyDescent="0.25">
      <c r="A518" t="s">
        <v>60</v>
      </c>
      <c r="B518" t="s">
        <v>61</v>
      </c>
      <c r="C518" s="2">
        <v>453.46</v>
      </c>
      <c r="D518" s="1">
        <v>4534.5999999999995</v>
      </c>
      <c r="E518" t="s">
        <v>87</v>
      </c>
      <c r="F518" s="2">
        <f t="shared" si="39"/>
        <v>157.35061999999999</v>
      </c>
      <c r="G518" s="2">
        <v>3.47</v>
      </c>
    </row>
    <row r="519" spans="1:14" hidden="1" x14ac:dyDescent="0.25">
      <c r="A519" t="s">
        <v>60</v>
      </c>
      <c r="B519" t="s">
        <v>61</v>
      </c>
      <c r="C519" s="2">
        <v>453.46</v>
      </c>
      <c r="D519" s="1">
        <v>4534.5999999999995</v>
      </c>
      <c r="E519" t="s">
        <v>13</v>
      </c>
      <c r="F519" s="2">
        <f t="shared" si="39"/>
        <v>126.51533999999998</v>
      </c>
      <c r="G519" s="2">
        <v>2.79</v>
      </c>
    </row>
    <row r="520" spans="1:14" hidden="1" x14ac:dyDescent="0.25">
      <c r="A520" t="s">
        <v>60</v>
      </c>
      <c r="B520" t="s">
        <v>61</v>
      </c>
      <c r="C520" s="2">
        <v>453.46</v>
      </c>
      <c r="D520" s="1">
        <v>4534.5999999999995</v>
      </c>
      <c r="E520" t="s">
        <v>5</v>
      </c>
      <c r="F520" s="2">
        <f t="shared" si="39"/>
        <v>99.307739999999995</v>
      </c>
      <c r="G520" s="2">
        <v>2.19</v>
      </c>
    </row>
    <row r="521" spans="1:14" hidden="1" x14ac:dyDescent="0.25">
      <c r="A521" t="s">
        <v>60</v>
      </c>
      <c r="B521" t="s">
        <v>61</v>
      </c>
      <c r="C521" s="2">
        <v>453.46</v>
      </c>
      <c r="D521" s="1">
        <v>4534.5999999999995</v>
      </c>
      <c r="E521" t="s">
        <v>6</v>
      </c>
      <c r="F521" s="2">
        <f t="shared" si="39"/>
        <v>99.307739999999995</v>
      </c>
      <c r="G521" s="2">
        <v>2.19</v>
      </c>
    </row>
    <row r="522" spans="1:14" hidden="1" x14ac:dyDescent="0.25">
      <c r="A522" t="s">
        <v>60</v>
      </c>
      <c r="B522" t="s">
        <v>61</v>
      </c>
      <c r="C522" s="2">
        <v>453.46</v>
      </c>
      <c r="D522" s="1">
        <v>4534.5999999999995</v>
      </c>
      <c r="E522" t="s">
        <v>174</v>
      </c>
      <c r="F522" s="2">
        <f t="shared" si="39"/>
        <v>97.493899999999982</v>
      </c>
      <c r="G522" s="2">
        <v>2.15</v>
      </c>
    </row>
    <row r="523" spans="1:14" hidden="1" x14ac:dyDescent="0.25">
      <c r="A523" t="s">
        <v>60</v>
      </c>
      <c r="B523" t="s">
        <v>61</v>
      </c>
      <c r="C523" s="2">
        <v>453.46</v>
      </c>
      <c r="D523" s="1">
        <v>4534.5999999999995</v>
      </c>
      <c r="E523" t="s">
        <v>7</v>
      </c>
      <c r="F523" s="2">
        <f t="shared" si="39"/>
        <v>83.89009999999999</v>
      </c>
      <c r="G523" s="2">
        <v>1.8499999999999999</v>
      </c>
    </row>
    <row r="524" spans="1:14" hidden="1" x14ac:dyDescent="0.25">
      <c r="A524" t="s">
        <v>60</v>
      </c>
      <c r="B524" t="s">
        <v>61</v>
      </c>
      <c r="C524" s="2">
        <v>453.46</v>
      </c>
      <c r="D524" s="1">
        <v>4534.5999999999995</v>
      </c>
      <c r="E524" s="4" t="s">
        <v>117</v>
      </c>
    </row>
    <row r="525" spans="1:14" hidden="1" x14ac:dyDescent="0.25">
      <c r="A525" t="s">
        <v>60</v>
      </c>
      <c r="B525" t="s">
        <v>61</v>
      </c>
      <c r="C525" s="2">
        <v>453.46</v>
      </c>
      <c r="D525" s="1">
        <v>4534.5999999999995</v>
      </c>
      <c r="E525" s="2" t="s">
        <v>118</v>
      </c>
      <c r="F525" s="2">
        <f t="shared" ref="F525:F534" si="40">(D525*G525)/100</f>
        <v>510.14249999999993</v>
      </c>
      <c r="G525" s="2">
        <v>11.25</v>
      </c>
    </row>
    <row r="526" spans="1:14" hidden="1" x14ac:dyDescent="0.25">
      <c r="A526" t="s">
        <v>60</v>
      </c>
      <c r="B526" t="s">
        <v>61</v>
      </c>
      <c r="C526" s="2">
        <v>453.46</v>
      </c>
      <c r="D526" s="1">
        <v>4534.5999999999995</v>
      </c>
      <c r="E526" s="2" t="s">
        <v>123</v>
      </c>
      <c r="F526" s="2">
        <f t="shared" si="40"/>
        <v>251.21683999999996</v>
      </c>
      <c r="G526" s="2">
        <v>5.54</v>
      </c>
    </row>
    <row r="527" spans="1:14" hidden="1" x14ac:dyDescent="0.25">
      <c r="A527" t="s">
        <v>60</v>
      </c>
      <c r="B527" t="s">
        <v>61</v>
      </c>
      <c r="C527" s="2">
        <v>453.46</v>
      </c>
      <c r="D527" s="1">
        <v>4534.5999999999995</v>
      </c>
      <c r="E527" s="2" t="s">
        <v>156</v>
      </c>
      <c r="F527" s="2">
        <f t="shared" si="40"/>
        <v>240.33379999999997</v>
      </c>
      <c r="G527" s="2">
        <v>5.3</v>
      </c>
    </row>
    <row r="528" spans="1:14" hidden="1" x14ac:dyDescent="0.25">
      <c r="A528" t="s">
        <v>60</v>
      </c>
      <c r="B528" t="s">
        <v>61</v>
      </c>
      <c r="C528" s="2">
        <v>453.46</v>
      </c>
      <c r="D528" s="1">
        <v>4534.5999999999995</v>
      </c>
      <c r="E528" s="2" t="s">
        <v>257</v>
      </c>
      <c r="F528" s="2">
        <f t="shared" si="40"/>
        <v>48.520219999999988</v>
      </c>
      <c r="G528" s="2">
        <v>1.0699999999999998</v>
      </c>
    </row>
    <row r="529" spans="1:7" hidden="1" x14ac:dyDescent="0.25">
      <c r="A529" t="s">
        <v>60</v>
      </c>
      <c r="B529" t="s">
        <v>61</v>
      </c>
      <c r="C529" s="2">
        <v>453.46</v>
      </c>
      <c r="D529" s="1">
        <v>4534.5999999999995</v>
      </c>
      <c r="E529" s="2" t="s">
        <v>120</v>
      </c>
      <c r="F529" s="2">
        <f t="shared" si="40"/>
        <v>33.556039999999996</v>
      </c>
      <c r="G529" s="2">
        <v>0.74</v>
      </c>
    </row>
    <row r="530" spans="1:7" hidden="1" x14ac:dyDescent="0.25">
      <c r="A530" t="s">
        <v>60</v>
      </c>
      <c r="B530" t="s">
        <v>61</v>
      </c>
      <c r="C530" s="2">
        <v>453.46</v>
      </c>
      <c r="D530" s="1">
        <v>4534.5999999999995</v>
      </c>
      <c r="E530" s="2" t="s">
        <v>121</v>
      </c>
      <c r="F530" s="2">
        <f t="shared" si="40"/>
        <v>29.474899999999998</v>
      </c>
      <c r="G530" s="2">
        <v>0.65</v>
      </c>
    </row>
    <row r="531" spans="1:7" hidden="1" x14ac:dyDescent="0.25">
      <c r="A531" t="s">
        <v>60</v>
      </c>
      <c r="B531" t="s">
        <v>61</v>
      </c>
      <c r="C531" s="2">
        <v>453.46</v>
      </c>
      <c r="D531" s="1">
        <v>4534.5999999999995</v>
      </c>
      <c r="E531" s="2" t="s">
        <v>176</v>
      </c>
      <c r="F531" s="2">
        <f t="shared" si="40"/>
        <v>22.672999999999998</v>
      </c>
      <c r="G531" s="2">
        <v>0.5</v>
      </c>
    </row>
    <row r="532" spans="1:7" hidden="1" x14ac:dyDescent="0.25">
      <c r="A532" t="s">
        <v>60</v>
      </c>
      <c r="B532" t="s">
        <v>61</v>
      </c>
      <c r="C532" s="2">
        <v>453.46</v>
      </c>
      <c r="D532" s="1">
        <v>4534.5999999999995</v>
      </c>
      <c r="E532" s="2" t="s">
        <v>258</v>
      </c>
      <c r="F532" s="2">
        <f t="shared" si="40"/>
        <v>10.883039999999999</v>
      </c>
      <c r="G532" s="2">
        <v>0.24</v>
      </c>
    </row>
    <row r="533" spans="1:7" hidden="1" x14ac:dyDescent="0.25">
      <c r="A533" t="s">
        <v>60</v>
      </c>
      <c r="B533" t="s">
        <v>61</v>
      </c>
      <c r="C533" s="2">
        <v>453.46</v>
      </c>
      <c r="D533" s="1">
        <v>4534.5999999999995</v>
      </c>
      <c r="E533" s="2" t="s">
        <v>141</v>
      </c>
      <c r="F533" s="2">
        <f t="shared" si="40"/>
        <v>6.3484399999999983</v>
      </c>
      <c r="G533" s="2">
        <v>0.13999999999999999</v>
      </c>
    </row>
    <row r="534" spans="1:7" hidden="1" x14ac:dyDescent="0.25">
      <c r="A534" t="s">
        <v>60</v>
      </c>
      <c r="B534" t="s">
        <v>61</v>
      </c>
      <c r="C534" s="2">
        <v>453.46</v>
      </c>
      <c r="D534" s="1">
        <v>4534.5999999999995</v>
      </c>
      <c r="E534" s="2" t="s">
        <v>142</v>
      </c>
      <c r="F534" s="2">
        <f t="shared" si="40"/>
        <v>5.8949799999999994</v>
      </c>
      <c r="G534" s="2">
        <v>0.13</v>
      </c>
    </row>
    <row r="535" spans="1:7" hidden="1" x14ac:dyDescent="0.25">
      <c r="A535" t="s">
        <v>60</v>
      </c>
      <c r="B535" t="s">
        <v>61</v>
      </c>
      <c r="C535" s="2">
        <v>453.46</v>
      </c>
      <c r="D535" s="1">
        <v>4534.5999999999995</v>
      </c>
      <c r="E535" s="4" t="s">
        <v>126</v>
      </c>
    </row>
    <row r="536" spans="1:7" hidden="1" x14ac:dyDescent="0.25">
      <c r="A536" t="s">
        <v>60</v>
      </c>
      <c r="B536" t="s">
        <v>61</v>
      </c>
      <c r="C536" s="2">
        <v>453.46</v>
      </c>
      <c r="D536" s="1">
        <v>4534.5999999999995</v>
      </c>
      <c r="E536" s="2" t="s">
        <v>132</v>
      </c>
      <c r="F536" s="2">
        <f t="shared" ref="F536:F546" si="41">(D536*G536)/100</f>
        <v>101.57503999999997</v>
      </c>
      <c r="G536" s="2">
        <v>2.2399999999999998</v>
      </c>
    </row>
    <row r="537" spans="1:7" hidden="1" x14ac:dyDescent="0.25">
      <c r="A537" t="s">
        <v>60</v>
      </c>
      <c r="B537" t="s">
        <v>61</v>
      </c>
      <c r="C537" s="2">
        <v>453.46</v>
      </c>
      <c r="D537" s="1">
        <v>4534.5999999999995</v>
      </c>
      <c r="E537" s="2" t="s">
        <v>127</v>
      </c>
      <c r="F537" s="2">
        <f t="shared" si="41"/>
        <v>99.761199999999974</v>
      </c>
      <c r="G537" s="2">
        <v>2.1999999999999997</v>
      </c>
    </row>
    <row r="538" spans="1:7" hidden="1" x14ac:dyDescent="0.25">
      <c r="A538" t="s">
        <v>60</v>
      </c>
      <c r="B538" t="s">
        <v>61</v>
      </c>
      <c r="C538" s="2">
        <v>453.46</v>
      </c>
      <c r="D538" s="1">
        <v>4534.5999999999995</v>
      </c>
      <c r="E538" s="2" t="s">
        <v>145</v>
      </c>
      <c r="F538" s="2">
        <f t="shared" si="41"/>
        <v>99.761199999999974</v>
      </c>
      <c r="G538" s="2">
        <v>2.1999999999999997</v>
      </c>
    </row>
    <row r="539" spans="1:7" hidden="1" x14ac:dyDescent="0.25">
      <c r="A539" t="s">
        <v>60</v>
      </c>
      <c r="B539" t="s">
        <v>61</v>
      </c>
      <c r="C539" s="2">
        <v>453.46</v>
      </c>
      <c r="D539" s="1">
        <v>4534.5999999999995</v>
      </c>
      <c r="E539" s="2" t="s">
        <v>259</v>
      </c>
      <c r="F539" s="2">
        <f t="shared" si="41"/>
        <v>56.229039999999998</v>
      </c>
      <c r="G539" s="2">
        <v>1.24</v>
      </c>
    </row>
    <row r="540" spans="1:7" hidden="1" x14ac:dyDescent="0.25">
      <c r="A540" t="s">
        <v>60</v>
      </c>
      <c r="B540" t="s">
        <v>61</v>
      </c>
      <c r="C540" s="2">
        <v>453.46</v>
      </c>
      <c r="D540" s="1">
        <v>4534.5999999999995</v>
      </c>
      <c r="E540" s="2" t="s">
        <v>199</v>
      </c>
      <c r="F540" s="2">
        <f t="shared" si="41"/>
        <v>50.787519999999986</v>
      </c>
      <c r="G540" s="2">
        <v>1.1199999999999999</v>
      </c>
    </row>
    <row r="541" spans="1:7" hidden="1" x14ac:dyDescent="0.25">
      <c r="A541" t="s">
        <v>60</v>
      </c>
      <c r="B541" t="s">
        <v>61</v>
      </c>
      <c r="C541" s="2">
        <v>453.46</v>
      </c>
      <c r="D541" s="1">
        <v>4534.5999999999995</v>
      </c>
      <c r="E541" s="2" t="s">
        <v>178</v>
      </c>
      <c r="F541" s="2">
        <f t="shared" si="41"/>
        <v>50.787519999999986</v>
      </c>
      <c r="G541" s="2">
        <v>1.1199999999999999</v>
      </c>
    </row>
    <row r="542" spans="1:7" hidden="1" x14ac:dyDescent="0.25">
      <c r="A542" t="s">
        <v>60</v>
      </c>
      <c r="B542" t="s">
        <v>61</v>
      </c>
      <c r="C542" s="2">
        <v>453.46</v>
      </c>
      <c r="D542" s="1">
        <v>4534.5999999999995</v>
      </c>
      <c r="E542" s="2" t="s">
        <v>146</v>
      </c>
      <c r="F542" s="2">
        <f t="shared" si="41"/>
        <v>48.066759999999995</v>
      </c>
      <c r="G542" s="2">
        <v>1.06</v>
      </c>
    </row>
    <row r="543" spans="1:7" hidden="1" x14ac:dyDescent="0.25">
      <c r="A543" t="s">
        <v>60</v>
      </c>
      <c r="B543" t="s">
        <v>61</v>
      </c>
      <c r="C543" s="2">
        <v>453.46</v>
      </c>
      <c r="D543" s="1">
        <v>4534.5999999999995</v>
      </c>
      <c r="E543" s="2" t="s">
        <v>129</v>
      </c>
      <c r="F543" s="2">
        <f t="shared" si="41"/>
        <v>40.357939999999992</v>
      </c>
      <c r="G543" s="2">
        <v>0.89</v>
      </c>
    </row>
    <row r="544" spans="1:7" hidden="1" x14ac:dyDescent="0.25">
      <c r="A544" t="s">
        <v>60</v>
      </c>
      <c r="B544" t="s">
        <v>61</v>
      </c>
      <c r="C544" s="2">
        <v>453.46</v>
      </c>
      <c r="D544" s="1">
        <v>4534.5999999999995</v>
      </c>
      <c r="E544" s="2" t="s">
        <v>260</v>
      </c>
      <c r="F544" s="2">
        <f t="shared" si="41"/>
        <v>38.997559999999993</v>
      </c>
      <c r="G544" s="2">
        <v>0.86</v>
      </c>
    </row>
    <row r="545" spans="1:14" hidden="1" x14ac:dyDescent="0.25">
      <c r="A545" t="s">
        <v>60</v>
      </c>
      <c r="B545" t="s">
        <v>61</v>
      </c>
      <c r="C545" s="2">
        <v>453.46</v>
      </c>
      <c r="D545" s="1">
        <v>4534.5999999999995</v>
      </c>
      <c r="E545" s="2" t="s">
        <v>136</v>
      </c>
      <c r="F545" s="2">
        <f t="shared" si="41"/>
        <v>38.997559999999993</v>
      </c>
      <c r="G545" s="2">
        <v>0.86</v>
      </c>
    </row>
    <row r="546" spans="1:14" hidden="1" x14ac:dyDescent="0.25">
      <c r="A546" t="s">
        <v>60</v>
      </c>
      <c r="B546" t="s">
        <v>61</v>
      </c>
      <c r="C546" s="2">
        <v>453.46</v>
      </c>
      <c r="D546" s="1">
        <v>4534.5999999999995</v>
      </c>
      <c r="E546" s="4" t="s">
        <v>96</v>
      </c>
      <c r="F546" s="2">
        <f t="shared" si="41"/>
        <v>90.23854</v>
      </c>
      <c r="G546" s="2">
        <v>1.9900000000000002</v>
      </c>
      <c r="N546" s="2"/>
    </row>
    <row r="547" spans="1:14" x14ac:dyDescent="0.25">
      <c r="A547" t="str">
        <f>A546</f>
        <v>LIFEMAKER PENSION MAXIMISER FUND</v>
      </c>
      <c r="B547" t="s">
        <v>61</v>
      </c>
      <c r="C547" s="2">
        <v>453.46</v>
      </c>
      <c r="D547" s="1">
        <v>4534.5999999999995</v>
      </c>
      <c r="E547" s="4" t="s">
        <v>8</v>
      </c>
      <c r="F547" s="2">
        <f ca="1">SUMIF(A:A,M547,F:F)</f>
        <v>3280.7830999999992</v>
      </c>
      <c r="G547" s="2">
        <f ca="1">SUMIF(A:A,M547,G:G)</f>
        <v>72.350000000000023</v>
      </c>
      <c r="I547" s="2">
        <f ca="1">(D547*J547)/100</f>
        <v>1253.8168999999989</v>
      </c>
      <c r="J547" s="2">
        <f ca="1">100-G547</f>
        <v>27.649999999999977</v>
      </c>
      <c r="K547" s="2">
        <f>D547/1000</f>
        <v>4.5345999999999993</v>
      </c>
      <c r="M547" t="str">
        <f>A546</f>
        <v>LIFEMAKER PENSION MAXIMISER FUND</v>
      </c>
    </row>
    <row r="548" spans="1:14" hidden="1" x14ac:dyDescent="0.25">
      <c r="C548" s="2"/>
      <c r="N548" s="2"/>
    </row>
    <row r="549" spans="1:14" hidden="1" x14ac:dyDescent="0.25">
      <c r="A549" t="s">
        <v>62</v>
      </c>
      <c r="B549" t="s">
        <v>63</v>
      </c>
      <c r="C549" s="2">
        <v>48.28</v>
      </c>
      <c r="D549" s="1">
        <v>482.8</v>
      </c>
      <c r="E549" s="4" t="s">
        <v>93</v>
      </c>
      <c r="N549" s="2"/>
    </row>
    <row r="550" spans="1:14" hidden="1" x14ac:dyDescent="0.25">
      <c r="A550" t="s">
        <v>62</v>
      </c>
      <c r="B550" t="s">
        <v>63</v>
      </c>
      <c r="C550" s="2">
        <v>48.28</v>
      </c>
      <c r="D550" s="1">
        <v>482.8</v>
      </c>
      <c r="E550" t="s">
        <v>2</v>
      </c>
      <c r="F550" s="2">
        <f t="shared" ref="F550:F559" si="42">(D550*G550)/100</f>
        <v>16.99456</v>
      </c>
      <c r="G550" s="2">
        <v>3.52</v>
      </c>
    </row>
    <row r="551" spans="1:14" hidden="1" x14ac:dyDescent="0.25">
      <c r="A551" t="s">
        <v>62</v>
      </c>
      <c r="B551" t="s">
        <v>63</v>
      </c>
      <c r="C551" s="2">
        <v>48.28</v>
      </c>
      <c r="D551" s="1">
        <v>482.8</v>
      </c>
      <c r="E551" t="s">
        <v>3</v>
      </c>
      <c r="F551" s="2">
        <f t="shared" si="42"/>
        <v>15.15992</v>
      </c>
      <c r="G551" s="2">
        <v>3.1399999999999997</v>
      </c>
    </row>
    <row r="552" spans="1:14" hidden="1" x14ac:dyDescent="0.25">
      <c r="A552" t="s">
        <v>62</v>
      </c>
      <c r="B552" t="s">
        <v>63</v>
      </c>
      <c r="C552" s="2">
        <v>48.28</v>
      </c>
      <c r="D552" s="1">
        <v>482.8</v>
      </c>
      <c r="E552" t="s">
        <v>4</v>
      </c>
      <c r="F552" s="2">
        <f t="shared" si="42"/>
        <v>15.15992</v>
      </c>
      <c r="G552" s="2">
        <v>3.1399999999999997</v>
      </c>
    </row>
    <row r="553" spans="1:14" hidden="1" x14ac:dyDescent="0.25">
      <c r="A553" t="s">
        <v>62</v>
      </c>
      <c r="B553" t="s">
        <v>63</v>
      </c>
      <c r="C553" s="2">
        <v>48.28</v>
      </c>
      <c r="D553" s="1">
        <v>482.8</v>
      </c>
      <c r="E553" t="s">
        <v>7</v>
      </c>
      <c r="F553" s="2">
        <f t="shared" si="42"/>
        <v>12.118280000000002</v>
      </c>
      <c r="G553" s="2">
        <v>2.5100000000000002</v>
      </c>
    </row>
    <row r="554" spans="1:14" hidden="1" x14ac:dyDescent="0.25">
      <c r="A554" t="s">
        <v>62</v>
      </c>
      <c r="B554" t="s">
        <v>63</v>
      </c>
      <c r="C554" s="2">
        <v>48.28</v>
      </c>
      <c r="D554" s="1">
        <v>482.8</v>
      </c>
      <c r="E554" t="s">
        <v>6</v>
      </c>
      <c r="F554" s="2">
        <f t="shared" si="42"/>
        <v>12.118280000000002</v>
      </c>
      <c r="G554" s="2">
        <v>2.5100000000000002</v>
      </c>
    </row>
    <row r="555" spans="1:14" hidden="1" x14ac:dyDescent="0.25">
      <c r="A555" t="s">
        <v>62</v>
      </c>
      <c r="B555" t="s">
        <v>63</v>
      </c>
      <c r="C555" s="2">
        <v>48.28</v>
      </c>
      <c r="D555" s="1">
        <v>482.8</v>
      </c>
      <c r="E555" t="s">
        <v>87</v>
      </c>
      <c r="F555" s="2">
        <f t="shared" si="42"/>
        <v>9.5594400000000004</v>
      </c>
      <c r="G555" s="2">
        <v>1.9800000000000002</v>
      </c>
    </row>
    <row r="556" spans="1:14" hidden="1" x14ac:dyDescent="0.25">
      <c r="A556" t="s">
        <v>62</v>
      </c>
      <c r="B556" t="s">
        <v>63</v>
      </c>
      <c r="C556" s="2">
        <v>48.28</v>
      </c>
      <c r="D556" s="1">
        <v>482.8</v>
      </c>
      <c r="E556" t="s">
        <v>261</v>
      </c>
      <c r="F556" s="2">
        <f t="shared" si="42"/>
        <v>8.54556</v>
      </c>
      <c r="G556" s="2">
        <v>1.77</v>
      </c>
    </row>
    <row r="557" spans="1:14" hidden="1" x14ac:dyDescent="0.25">
      <c r="A557" t="s">
        <v>62</v>
      </c>
      <c r="B557" t="s">
        <v>63</v>
      </c>
      <c r="C557" s="2">
        <v>48.28</v>
      </c>
      <c r="D557" s="1">
        <v>482.8</v>
      </c>
      <c r="E557" t="s">
        <v>13</v>
      </c>
      <c r="F557" s="2">
        <f t="shared" si="42"/>
        <v>7.1454399999999998</v>
      </c>
      <c r="G557" s="2">
        <v>1.48</v>
      </c>
    </row>
    <row r="558" spans="1:14" hidden="1" x14ac:dyDescent="0.25">
      <c r="A558" t="s">
        <v>62</v>
      </c>
      <c r="B558" t="s">
        <v>63</v>
      </c>
      <c r="C558" s="2">
        <v>48.28</v>
      </c>
      <c r="D558" s="1">
        <v>482.8</v>
      </c>
      <c r="E558" t="s">
        <v>138</v>
      </c>
      <c r="F558" s="2">
        <f t="shared" si="42"/>
        <v>7.0971599999999997</v>
      </c>
      <c r="G558" s="2">
        <v>1.47</v>
      </c>
    </row>
    <row r="559" spans="1:14" hidden="1" x14ac:dyDescent="0.25">
      <c r="A559" t="s">
        <v>62</v>
      </c>
      <c r="B559" t="s">
        <v>63</v>
      </c>
      <c r="C559" s="2">
        <v>48.28</v>
      </c>
      <c r="D559" s="1">
        <v>482.8</v>
      </c>
      <c r="E559" t="s">
        <v>190</v>
      </c>
      <c r="F559" s="2">
        <f t="shared" si="42"/>
        <v>6.3246800000000007</v>
      </c>
      <c r="G559" s="2">
        <v>1.31</v>
      </c>
    </row>
    <row r="560" spans="1:14" hidden="1" x14ac:dyDescent="0.25">
      <c r="A560" t="s">
        <v>62</v>
      </c>
      <c r="B560" t="s">
        <v>63</v>
      </c>
      <c r="C560" s="2">
        <v>48.28</v>
      </c>
      <c r="D560" s="1">
        <v>482.8</v>
      </c>
      <c r="E560" s="4" t="s">
        <v>117</v>
      </c>
    </row>
    <row r="561" spans="1:14" hidden="1" x14ac:dyDescent="0.25">
      <c r="A561" t="s">
        <v>62</v>
      </c>
      <c r="B561" t="s">
        <v>63</v>
      </c>
      <c r="C561" s="2">
        <v>48.28</v>
      </c>
      <c r="D561" s="1">
        <v>482.8</v>
      </c>
      <c r="E561" s="2" t="s">
        <v>118</v>
      </c>
      <c r="F561" s="2">
        <f t="shared" ref="F561:F570" si="43">(D561*G561)/100</f>
        <v>40.217240000000004</v>
      </c>
      <c r="G561" s="2">
        <v>8.33</v>
      </c>
    </row>
    <row r="562" spans="1:14" hidden="1" x14ac:dyDescent="0.25">
      <c r="A562" t="s">
        <v>62</v>
      </c>
      <c r="B562" t="s">
        <v>63</v>
      </c>
      <c r="C562" s="2">
        <v>48.28</v>
      </c>
      <c r="D562" s="1">
        <v>482.8</v>
      </c>
      <c r="E562" s="2" t="s">
        <v>124</v>
      </c>
      <c r="F562" s="2">
        <f t="shared" si="43"/>
        <v>23.753760000000003</v>
      </c>
      <c r="G562" s="2">
        <v>4.92</v>
      </c>
    </row>
    <row r="563" spans="1:14" hidden="1" x14ac:dyDescent="0.25">
      <c r="A563" t="s">
        <v>62</v>
      </c>
      <c r="B563" t="s">
        <v>63</v>
      </c>
      <c r="C563" s="2">
        <v>48.28</v>
      </c>
      <c r="D563" s="1">
        <v>482.8</v>
      </c>
      <c r="E563" s="2" t="s">
        <v>176</v>
      </c>
      <c r="F563" s="2">
        <f t="shared" si="43"/>
        <v>22.160520000000005</v>
      </c>
      <c r="G563" s="2">
        <v>4.5900000000000007</v>
      </c>
    </row>
    <row r="564" spans="1:14" hidden="1" x14ac:dyDescent="0.25">
      <c r="A564" t="s">
        <v>62</v>
      </c>
      <c r="B564" t="s">
        <v>63</v>
      </c>
      <c r="C564" s="2">
        <v>48.28</v>
      </c>
      <c r="D564" s="1">
        <v>482.8</v>
      </c>
      <c r="E564" s="2" t="s">
        <v>156</v>
      </c>
      <c r="F564" s="2">
        <f t="shared" si="43"/>
        <v>20.37416</v>
      </c>
      <c r="G564" s="2">
        <v>4.22</v>
      </c>
    </row>
    <row r="565" spans="1:14" hidden="1" x14ac:dyDescent="0.25">
      <c r="A565" t="s">
        <v>62</v>
      </c>
      <c r="B565" t="s">
        <v>63</v>
      </c>
      <c r="C565" s="2">
        <v>48.28</v>
      </c>
      <c r="D565" s="1">
        <v>482.8</v>
      </c>
      <c r="E565" s="2" t="s">
        <v>120</v>
      </c>
      <c r="F565" s="2">
        <f t="shared" si="43"/>
        <v>18.00844</v>
      </c>
      <c r="G565" s="2">
        <v>3.73</v>
      </c>
    </row>
    <row r="566" spans="1:14" hidden="1" x14ac:dyDescent="0.25">
      <c r="A566" t="s">
        <v>62</v>
      </c>
      <c r="B566" t="s">
        <v>63</v>
      </c>
      <c r="C566" s="2">
        <v>48.28</v>
      </c>
      <c r="D566" s="1">
        <v>482.8</v>
      </c>
      <c r="E566" s="2" t="s">
        <v>121</v>
      </c>
      <c r="F566" s="2">
        <f t="shared" si="43"/>
        <v>16.99456</v>
      </c>
      <c r="G566" s="2">
        <v>3.52</v>
      </c>
    </row>
    <row r="567" spans="1:14" hidden="1" x14ac:dyDescent="0.25">
      <c r="A567" t="s">
        <v>62</v>
      </c>
      <c r="B567" t="s">
        <v>63</v>
      </c>
      <c r="C567" s="2">
        <v>48.28</v>
      </c>
      <c r="D567" s="1">
        <v>482.8</v>
      </c>
      <c r="E567" s="2" t="s">
        <v>123</v>
      </c>
      <c r="F567" s="2">
        <f t="shared" si="43"/>
        <v>6.7592000000000008</v>
      </c>
      <c r="G567" s="2">
        <v>1.4000000000000001</v>
      </c>
    </row>
    <row r="568" spans="1:14" hidden="1" x14ac:dyDescent="0.25">
      <c r="A568" t="s">
        <v>62</v>
      </c>
      <c r="B568" t="s">
        <v>63</v>
      </c>
      <c r="C568" s="2">
        <v>48.28</v>
      </c>
      <c r="D568" s="1">
        <v>482.8</v>
      </c>
      <c r="E568" s="2" t="s">
        <v>140</v>
      </c>
      <c r="F568" s="2">
        <f t="shared" si="43"/>
        <v>5.3107999999999995</v>
      </c>
      <c r="G568" s="2">
        <v>1.0999999999999999</v>
      </c>
    </row>
    <row r="569" spans="1:14" hidden="1" x14ac:dyDescent="0.25">
      <c r="A569" t="s">
        <v>62</v>
      </c>
      <c r="B569" t="s">
        <v>63</v>
      </c>
      <c r="C569" s="2">
        <v>48.28</v>
      </c>
      <c r="D569" s="1">
        <v>482.8</v>
      </c>
      <c r="E569" s="2" t="s">
        <v>262</v>
      </c>
      <c r="F569" s="2">
        <f t="shared" si="43"/>
        <v>5.11768</v>
      </c>
      <c r="G569" s="2">
        <v>1.06</v>
      </c>
    </row>
    <row r="570" spans="1:14" hidden="1" x14ac:dyDescent="0.25">
      <c r="A570" t="s">
        <v>62</v>
      </c>
      <c r="B570" t="s">
        <v>63</v>
      </c>
      <c r="C570" s="2">
        <v>48.28</v>
      </c>
      <c r="D570" s="1">
        <v>482.8</v>
      </c>
      <c r="E570" s="2" t="s">
        <v>263</v>
      </c>
      <c r="F570" s="2">
        <f t="shared" si="43"/>
        <v>5.0211199999999998</v>
      </c>
      <c r="G570" s="2">
        <v>1.04</v>
      </c>
    </row>
    <row r="571" spans="1:14" hidden="1" x14ac:dyDescent="0.25">
      <c r="A571" t="s">
        <v>62</v>
      </c>
      <c r="B571" t="s">
        <v>63</v>
      </c>
      <c r="C571" s="2">
        <v>48.28</v>
      </c>
      <c r="D571" s="1">
        <v>482.8</v>
      </c>
      <c r="E571" s="4" t="s">
        <v>126</v>
      </c>
    </row>
    <row r="572" spans="1:14" hidden="1" x14ac:dyDescent="0.25">
      <c r="A572" t="s">
        <v>62</v>
      </c>
      <c r="B572" t="s">
        <v>63</v>
      </c>
      <c r="C572" s="2">
        <v>48.28</v>
      </c>
      <c r="D572" s="1">
        <v>482.8</v>
      </c>
      <c r="E572" s="2" t="s">
        <v>133</v>
      </c>
      <c r="F572" s="2">
        <f t="shared" ref="F572:F582" si="44">(D572*G572)/100</f>
        <v>17.863599999999998</v>
      </c>
      <c r="G572" s="2">
        <v>3.6999999999999997</v>
      </c>
      <c r="N572" s="2"/>
    </row>
    <row r="573" spans="1:14" hidden="1" x14ac:dyDescent="0.25">
      <c r="A573" t="s">
        <v>62</v>
      </c>
      <c r="B573" t="s">
        <v>63</v>
      </c>
      <c r="C573" s="2">
        <v>48.28</v>
      </c>
      <c r="D573" s="1">
        <v>482.8</v>
      </c>
      <c r="E573" s="2" t="s">
        <v>264</v>
      </c>
      <c r="F573" s="2">
        <f t="shared" si="44"/>
        <v>15.594440000000002</v>
      </c>
      <c r="G573" s="2">
        <v>3.2300000000000004</v>
      </c>
    </row>
    <row r="574" spans="1:14" hidden="1" x14ac:dyDescent="0.25">
      <c r="A574" t="s">
        <v>62</v>
      </c>
      <c r="B574" t="s">
        <v>63</v>
      </c>
      <c r="C574" s="2">
        <v>48.28</v>
      </c>
      <c r="D574" s="1">
        <v>482.8</v>
      </c>
      <c r="E574" s="2" t="s">
        <v>265</v>
      </c>
      <c r="F574" s="2">
        <f t="shared" si="44"/>
        <v>11.345800000000002</v>
      </c>
      <c r="G574" s="2">
        <v>2.35</v>
      </c>
    </row>
    <row r="575" spans="1:14" hidden="1" x14ac:dyDescent="0.25">
      <c r="A575" t="s">
        <v>62</v>
      </c>
      <c r="B575" t="s">
        <v>63</v>
      </c>
      <c r="C575" s="2">
        <v>48.28</v>
      </c>
      <c r="D575" s="1">
        <v>482.8</v>
      </c>
      <c r="E575" s="2" t="s">
        <v>199</v>
      </c>
      <c r="F575" s="2">
        <f t="shared" si="44"/>
        <v>10.138800000000002</v>
      </c>
      <c r="G575" s="2">
        <v>2.1</v>
      </c>
    </row>
    <row r="576" spans="1:14" hidden="1" x14ac:dyDescent="0.25">
      <c r="A576" t="s">
        <v>62</v>
      </c>
      <c r="B576" t="s">
        <v>63</v>
      </c>
      <c r="C576" s="2">
        <v>48.28</v>
      </c>
      <c r="D576" s="1">
        <v>482.8</v>
      </c>
      <c r="E576" s="2" t="s">
        <v>132</v>
      </c>
      <c r="F576" s="2">
        <f t="shared" si="44"/>
        <v>10.138800000000002</v>
      </c>
      <c r="G576" s="2">
        <v>2.1</v>
      </c>
    </row>
    <row r="577" spans="1:14" hidden="1" x14ac:dyDescent="0.25">
      <c r="A577" t="s">
        <v>62</v>
      </c>
      <c r="B577" t="s">
        <v>63</v>
      </c>
      <c r="C577" s="2">
        <v>48.28</v>
      </c>
      <c r="D577" s="1">
        <v>482.8</v>
      </c>
      <c r="E577" s="2" t="s">
        <v>266</v>
      </c>
      <c r="F577" s="2">
        <f t="shared" si="44"/>
        <v>10.09052</v>
      </c>
      <c r="G577" s="2">
        <v>2.09</v>
      </c>
    </row>
    <row r="578" spans="1:14" hidden="1" x14ac:dyDescent="0.25">
      <c r="A578" t="s">
        <v>62</v>
      </c>
      <c r="B578" t="s">
        <v>63</v>
      </c>
      <c r="C578" s="2">
        <v>48.28</v>
      </c>
      <c r="D578" s="1">
        <v>482.8</v>
      </c>
      <c r="E578" s="2" t="s">
        <v>267</v>
      </c>
      <c r="F578" s="2">
        <f t="shared" si="44"/>
        <v>10.04224</v>
      </c>
      <c r="G578" s="2">
        <v>2.08</v>
      </c>
    </row>
    <row r="579" spans="1:14" hidden="1" x14ac:dyDescent="0.25">
      <c r="A579" t="s">
        <v>62</v>
      </c>
      <c r="B579" t="s">
        <v>63</v>
      </c>
      <c r="C579" s="2">
        <v>48.28</v>
      </c>
      <c r="D579" s="1">
        <v>482.8</v>
      </c>
      <c r="E579" s="2" t="s">
        <v>185</v>
      </c>
      <c r="F579" s="2">
        <f t="shared" si="44"/>
        <v>9.9939599999999995</v>
      </c>
      <c r="G579" s="2">
        <v>2.0699999999999998</v>
      </c>
    </row>
    <row r="580" spans="1:14" hidden="1" x14ac:dyDescent="0.25">
      <c r="A580" t="s">
        <v>62</v>
      </c>
      <c r="B580" t="s">
        <v>63</v>
      </c>
      <c r="C580" s="2">
        <v>48.28</v>
      </c>
      <c r="D580" s="1">
        <v>482.8</v>
      </c>
      <c r="E580" s="2" t="s">
        <v>165</v>
      </c>
      <c r="F580" s="2">
        <f t="shared" si="44"/>
        <v>7.9662000000000015</v>
      </c>
      <c r="G580" s="2">
        <v>1.6500000000000001</v>
      </c>
    </row>
    <row r="581" spans="1:14" hidden="1" x14ac:dyDescent="0.25">
      <c r="A581" t="s">
        <v>62</v>
      </c>
      <c r="B581" t="s">
        <v>63</v>
      </c>
      <c r="C581" s="2">
        <v>48.28</v>
      </c>
      <c r="D581" s="1">
        <v>482.8</v>
      </c>
      <c r="E581" s="2" t="s">
        <v>127</v>
      </c>
      <c r="F581" s="2">
        <f t="shared" si="44"/>
        <v>7.9661999999999997</v>
      </c>
      <c r="G581" s="2">
        <v>1.65</v>
      </c>
    </row>
    <row r="582" spans="1:14" hidden="1" x14ac:dyDescent="0.25">
      <c r="A582" t="s">
        <v>62</v>
      </c>
      <c r="B582" t="s">
        <v>63</v>
      </c>
      <c r="C582" s="2">
        <v>48.28</v>
      </c>
      <c r="D582" s="1">
        <v>482.8</v>
      </c>
      <c r="E582" s="4" t="s">
        <v>96</v>
      </c>
      <c r="F582" s="2">
        <f t="shared" si="44"/>
        <v>15.063359999999998</v>
      </c>
      <c r="G582" s="2">
        <v>3.1199999999999997</v>
      </c>
      <c r="N582" s="2"/>
    </row>
    <row r="583" spans="1:14" x14ac:dyDescent="0.25">
      <c r="A583" t="str">
        <f>A582</f>
        <v>PENSION LIFE BALANCED FUND</v>
      </c>
      <c r="B583" t="s">
        <v>63</v>
      </c>
      <c r="C583" s="2">
        <v>48.28</v>
      </c>
      <c r="D583" s="1">
        <v>482.8</v>
      </c>
      <c r="E583" s="4" t="s">
        <v>8</v>
      </c>
      <c r="F583" s="2">
        <f ca="1">SUMIF(A:A,M583,F:F)</f>
        <v>400.14464000000009</v>
      </c>
      <c r="G583" s="2">
        <f ca="1">SUMIF(A:A,M583,G:G)</f>
        <v>82.88</v>
      </c>
      <c r="I583" s="2">
        <f ca="1">(D583*J583)/100</f>
        <v>82.655360000000016</v>
      </c>
      <c r="J583" s="2">
        <f ca="1">100-G583</f>
        <v>17.120000000000005</v>
      </c>
      <c r="K583" s="2">
        <f>D583/1000</f>
        <v>0.48280000000000001</v>
      </c>
      <c r="M583" t="str">
        <f>A582</f>
        <v>PENSION LIFE BALANCED FUND</v>
      </c>
    </row>
    <row r="584" spans="1:14" hidden="1" x14ac:dyDescent="0.25">
      <c r="C584" s="2"/>
    </row>
    <row r="585" spans="1:14" hidden="1" x14ac:dyDescent="0.25">
      <c r="A585" t="s">
        <v>64</v>
      </c>
      <c r="B585" t="s">
        <v>65</v>
      </c>
      <c r="C585" s="2">
        <v>73.12</v>
      </c>
      <c r="D585" s="1">
        <v>731.2</v>
      </c>
      <c r="E585" s="4" t="s">
        <v>93</v>
      </c>
      <c r="N585" s="2"/>
    </row>
    <row r="586" spans="1:14" hidden="1" x14ac:dyDescent="0.25">
      <c r="A586" t="s">
        <v>64</v>
      </c>
      <c r="B586" t="s">
        <v>65</v>
      </c>
      <c r="C586" s="2">
        <v>73.12</v>
      </c>
      <c r="D586" s="1">
        <v>731.2</v>
      </c>
      <c r="E586" t="s">
        <v>2</v>
      </c>
      <c r="F586" s="2">
        <f t="shared" ref="F586:F595" si="45">(D586*G586)/100</f>
        <v>13.454079999999999</v>
      </c>
      <c r="G586" s="2">
        <v>1.8399999999999999</v>
      </c>
    </row>
    <row r="587" spans="1:14" hidden="1" x14ac:dyDescent="0.25">
      <c r="A587" t="s">
        <v>64</v>
      </c>
      <c r="B587" t="s">
        <v>65</v>
      </c>
      <c r="C587" s="2">
        <v>73.12</v>
      </c>
      <c r="D587" s="1">
        <v>731.2</v>
      </c>
      <c r="E587" t="s">
        <v>138</v>
      </c>
      <c r="F587" s="2">
        <f t="shared" si="45"/>
        <v>10.456160000000001</v>
      </c>
      <c r="G587" s="2">
        <v>1.43</v>
      </c>
    </row>
    <row r="588" spans="1:14" hidden="1" x14ac:dyDescent="0.25">
      <c r="A588" t="s">
        <v>64</v>
      </c>
      <c r="B588" t="s">
        <v>65</v>
      </c>
      <c r="C588" s="2">
        <v>73.12</v>
      </c>
      <c r="D588" s="1">
        <v>731.2</v>
      </c>
      <c r="E588" t="s">
        <v>4</v>
      </c>
      <c r="F588" s="2">
        <f t="shared" si="45"/>
        <v>9.21312</v>
      </c>
      <c r="G588" s="2">
        <v>1.26</v>
      </c>
    </row>
    <row r="589" spans="1:14" hidden="1" x14ac:dyDescent="0.25">
      <c r="A589" t="s">
        <v>64</v>
      </c>
      <c r="B589" t="s">
        <v>65</v>
      </c>
      <c r="C589" s="2">
        <v>73.12</v>
      </c>
      <c r="D589" s="1">
        <v>731.2</v>
      </c>
      <c r="E589" t="s">
        <v>3</v>
      </c>
      <c r="F589" s="2">
        <f t="shared" si="45"/>
        <v>9.21312</v>
      </c>
      <c r="G589" s="2">
        <v>1.26</v>
      </c>
    </row>
    <row r="590" spans="1:14" hidden="1" x14ac:dyDescent="0.25">
      <c r="A590" t="s">
        <v>64</v>
      </c>
      <c r="B590" t="s">
        <v>65</v>
      </c>
      <c r="C590" s="2">
        <v>73.12</v>
      </c>
      <c r="D590" s="1">
        <v>731.2</v>
      </c>
      <c r="E590" t="s">
        <v>87</v>
      </c>
      <c r="F590" s="2">
        <f t="shared" si="45"/>
        <v>7.8969600000000018</v>
      </c>
      <c r="G590" s="2">
        <v>1.08</v>
      </c>
    </row>
    <row r="591" spans="1:14" hidden="1" x14ac:dyDescent="0.25">
      <c r="A591" t="s">
        <v>64</v>
      </c>
      <c r="B591" t="s">
        <v>65</v>
      </c>
      <c r="C591" s="2">
        <v>73.12</v>
      </c>
      <c r="D591" s="1">
        <v>731.2</v>
      </c>
      <c r="E591" t="s">
        <v>13</v>
      </c>
      <c r="F591" s="2">
        <f t="shared" si="45"/>
        <v>6.7270399999999997</v>
      </c>
      <c r="G591" s="2">
        <v>0.91999999999999993</v>
      </c>
    </row>
    <row r="592" spans="1:14" hidden="1" x14ac:dyDescent="0.25">
      <c r="A592" t="s">
        <v>64</v>
      </c>
      <c r="B592" t="s">
        <v>65</v>
      </c>
      <c r="C592" s="2">
        <v>73.12</v>
      </c>
      <c r="D592" s="1">
        <v>731.2</v>
      </c>
      <c r="E592" t="s">
        <v>6</v>
      </c>
      <c r="F592" s="2">
        <f t="shared" si="45"/>
        <v>5.9227200000000009</v>
      </c>
      <c r="G592" s="2">
        <v>0.80999999999999994</v>
      </c>
    </row>
    <row r="593" spans="1:14" hidden="1" x14ac:dyDescent="0.25">
      <c r="A593" t="s">
        <v>64</v>
      </c>
      <c r="B593" t="s">
        <v>65</v>
      </c>
      <c r="C593" s="2">
        <v>73.12</v>
      </c>
      <c r="D593" s="1">
        <v>731.2</v>
      </c>
      <c r="E593" t="s">
        <v>174</v>
      </c>
      <c r="F593" s="2">
        <f t="shared" si="45"/>
        <v>5.2646400000000009</v>
      </c>
      <c r="G593" s="2">
        <v>0.72</v>
      </c>
    </row>
    <row r="594" spans="1:14" hidden="1" x14ac:dyDescent="0.25">
      <c r="A594" t="s">
        <v>64</v>
      </c>
      <c r="B594" t="s">
        <v>65</v>
      </c>
      <c r="C594" s="2">
        <v>73.12</v>
      </c>
      <c r="D594" s="1">
        <v>731.2</v>
      </c>
      <c r="E594" t="s">
        <v>5</v>
      </c>
      <c r="F594" s="2">
        <f t="shared" si="45"/>
        <v>5.04528</v>
      </c>
      <c r="G594" s="2">
        <v>0.69</v>
      </c>
    </row>
    <row r="595" spans="1:14" hidden="1" x14ac:dyDescent="0.25">
      <c r="A595" t="s">
        <v>64</v>
      </c>
      <c r="B595" t="s">
        <v>65</v>
      </c>
      <c r="C595" s="2">
        <v>73.12</v>
      </c>
      <c r="D595" s="1">
        <v>731.2</v>
      </c>
      <c r="E595" t="s">
        <v>190</v>
      </c>
      <c r="F595" s="2">
        <f t="shared" si="45"/>
        <v>4.4603200000000003</v>
      </c>
      <c r="G595" s="2">
        <v>0.61</v>
      </c>
    </row>
    <row r="596" spans="1:14" hidden="1" x14ac:dyDescent="0.25">
      <c r="A596" t="s">
        <v>64</v>
      </c>
      <c r="B596" t="s">
        <v>65</v>
      </c>
      <c r="C596" s="2">
        <v>73.12</v>
      </c>
      <c r="D596" s="1">
        <v>731.2</v>
      </c>
      <c r="E596" s="4" t="s">
        <v>117</v>
      </c>
    </row>
    <row r="597" spans="1:14" hidden="1" x14ac:dyDescent="0.25">
      <c r="A597" t="s">
        <v>64</v>
      </c>
      <c r="B597" t="s">
        <v>65</v>
      </c>
      <c r="C597" s="2">
        <v>73.12</v>
      </c>
      <c r="D597" s="1">
        <v>731.2</v>
      </c>
      <c r="E597" s="2" t="s">
        <v>124</v>
      </c>
      <c r="F597" s="2">
        <f t="shared" ref="F597:F606" si="46">(D597*G597)/100</f>
        <v>76.264160000000004</v>
      </c>
      <c r="G597" s="2">
        <v>10.43</v>
      </c>
    </row>
    <row r="598" spans="1:14" hidden="1" x14ac:dyDescent="0.25">
      <c r="A598" t="s">
        <v>64</v>
      </c>
      <c r="B598" t="s">
        <v>65</v>
      </c>
      <c r="C598" s="2">
        <v>73.12</v>
      </c>
      <c r="D598" s="1">
        <v>731.2</v>
      </c>
      <c r="E598" s="2" t="s">
        <v>121</v>
      </c>
      <c r="F598" s="2">
        <f t="shared" si="46"/>
        <v>52.13456</v>
      </c>
      <c r="G598" s="2">
        <v>7.13</v>
      </c>
    </row>
    <row r="599" spans="1:14" hidden="1" x14ac:dyDescent="0.25">
      <c r="A599" t="s">
        <v>64</v>
      </c>
      <c r="B599" t="s">
        <v>65</v>
      </c>
      <c r="C599" s="2">
        <v>73.12</v>
      </c>
      <c r="D599" s="1">
        <v>731.2</v>
      </c>
      <c r="E599" s="2" t="s">
        <v>156</v>
      </c>
      <c r="F599" s="2">
        <f t="shared" si="46"/>
        <v>45.261279999999999</v>
      </c>
      <c r="G599" s="2">
        <v>6.1899999999999995</v>
      </c>
    </row>
    <row r="600" spans="1:14" hidden="1" x14ac:dyDescent="0.25">
      <c r="A600" t="s">
        <v>64</v>
      </c>
      <c r="B600" t="s">
        <v>65</v>
      </c>
      <c r="C600" s="2">
        <v>73.12</v>
      </c>
      <c r="D600" s="1">
        <v>731.2</v>
      </c>
      <c r="E600" s="2" t="s">
        <v>262</v>
      </c>
      <c r="F600" s="2">
        <f t="shared" si="46"/>
        <v>44.530079999999998</v>
      </c>
      <c r="G600" s="2">
        <v>6.09</v>
      </c>
    </row>
    <row r="601" spans="1:14" hidden="1" x14ac:dyDescent="0.25">
      <c r="A601" t="s">
        <v>64</v>
      </c>
      <c r="B601" t="s">
        <v>65</v>
      </c>
      <c r="C601" s="2">
        <v>73.12</v>
      </c>
      <c r="D601" s="1">
        <v>731.2</v>
      </c>
      <c r="E601" s="2" t="s">
        <v>118</v>
      </c>
      <c r="F601" s="2">
        <f t="shared" si="46"/>
        <v>39.923520000000003</v>
      </c>
      <c r="G601" s="2">
        <v>5.46</v>
      </c>
    </row>
    <row r="602" spans="1:14" hidden="1" x14ac:dyDescent="0.25">
      <c r="A602" t="s">
        <v>64</v>
      </c>
      <c r="B602" t="s">
        <v>65</v>
      </c>
      <c r="C602" s="2">
        <v>73.12</v>
      </c>
      <c r="D602" s="1">
        <v>731.2</v>
      </c>
      <c r="E602" s="2" t="s">
        <v>120</v>
      </c>
      <c r="F602" s="2">
        <f t="shared" si="46"/>
        <v>22.447840000000006</v>
      </c>
      <c r="G602" s="2">
        <v>3.0700000000000003</v>
      </c>
    </row>
    <row r="603" spans="1:14" hidden="1" x14ac:dyDescent="0.25">
      <c r="A603" t="s">
        <v>64</v>
      </c>
      <c r="B603" t="s">
        <v>65</v>
      </c>
      <c r="C603" s="2">
        <v>73.12</v>
      </c>
      <c r="D603" s="1">
        <v>731.2</v>
      </c>
      <c r="E603" s="2" t="s">
        <v>268</v>
      </c>
      <c r="F603" s="2">
        <f t="shared" si="46"/>
        <v>19.011200000000002</v>
      </c>
      <c r="G603" s="2">
        <v>2.6</v>
      </c>
    </row>
    <row r="604" spans="1:14" hidden="1" x14ac:dyDescent="0.25">
      <c r="A604" t="s">
        <v>64</v>
      </c>
      <c r="B604" t="s">
        <v>65</v>
      </c>
      <c r="C604" s="2">
        <v>73.12</v>
      </c>
      <c r="D604" s="1">
        <v>731.2</v>
      </c>
      <c r="E604" s="2" t="s">
        <v>141</v>
      </c>
      <c r="F604" s="2">
        <f t="shared" si="46"/>
        <v>4.2409600000000003</v>
      </c>
      <c r="G604" s="2">
        <v>0.57999999999999996</v>
      </c>
    </row>
    <row r="605" spans="1:14" hidden="1" x14ac:dyDescent="0.25">
      <c r="A605" t="s">
        <v>64</v>
      </c>
      <c r="B605" t="s">
        <v>65</v>
      </c>
      <c r="C605" s="2">
        <v>73.12</v>
      </c>
      <c r="D605" s="1">
        <v>731.2</v>
      </c>
      <c r="E605" s="2" t="s">
        <v>123</v>
      </c>
      <c r="F605" s="2">
        <f t="shared" si="46"/>
        <v>3.2903999999999995</v>
      </c>
      <c r="G605" s="2">
        <v>0.44999999999999996</v>
      </c>
    </row>
    <row r="606" spans="1:14" hidden="1" x14ac:dyDescent="0.25">
      <c r="A606" t="s">
        <v>64</v>
      </c>
      <c r="B606" t="s">
        <v>65</v>
      </c>
      <c r="C606" s="2">
        <v>73.12</v>
      </c>
      <c r="D606" s="1">
        <v>731.2</v>
      </c>
      <c r="E606" s="2" t="s">
        <v>142</v>
      </c>
      <c r="F606" s="2">
        <f t="shared" si="46"/>
        <v>3.2172800000000001</v>
      </c>
      <c r="G606" s="2">
        <v>0.44</v>
      </c>
    </row>
    <row r="607" spans="1:14" hidden="1" x14ac:dyDescent="0.25">
      <c r="A607" t="s">
        <v>64</v>
      </c>
      <c r="B607" t="s">
        <v>65</v>
      </c>
      <c r="C607" s="2">
        <v>73.12</v>
      </c>
      <c r="D607" s="1">
        <v>731.2</v>
      </c>
      <c r="E607" s="4" t="s">
        <v>126</v>
      </c>
    </row>
    <row r="608" spans="1:14" hidden="1" x14ac:dyDescent="0.25">
      <c r="A608" t="s">
        <v>64</v>
      </c>
      <c r="B608" t="s">
        <v>65</v>
      </c>
      <c r="C608" s="2">
        <v>73.12</v>
      </c>
      <c r="D608" s="1">
        <v>731.2</v>
      </c>
      <c r="E608" s="2" t="s">
        <v>146</v>
      </c>
      <c r="F608" s="2">
        <f t="shared" ref="F608:F618" si="47">(D608*G608)/100</f>
        <v>43.067680000000003</v>
      </c>
      <c r="G608" s="2">
        <v>5.89</v>
      </c>
      <c r="N608" s="2"/>
    </row>
    <row r="609" spans="1:14" hidden="1" x14ac:dyDescent="0.25">
      <c r="A609" t="s">
        <v>64</v>
      </c>
      <c r="B609" t="s">
        <v>65</v>
      </c>
      <c r="C609" s="2">
        <v>73.12</v>
      </c>
      <c r="D609" s="1">
        <v>731.2</v>
      </c>
      <c r="E609" s="2" t="s">
        <v>145</v>
      </c>
      <c r="F609" s="2">
        <f t="shared" si="47"/>
        <v>29.832960000000003</v>
      </c>
      <c r="G609" s="2">
        <v>4.08</v>
      </c>
    </row>
    <row r="610" spans="1:14" hidden="1" x14ac:dyDescent="0.25">
      <c r="A610" t="s">
        <v>64</v>
      </c>
      <c r="B610" t="s">
        <v>65</v>
      </c>
      <c r="C610" s="2">
        <v>73.12</v>
      </c>
      <c r="D610" s="1">
        <v>731.2</v>
      </c>
      <c r="E610" s="2" t="s">
        <v>260</v>
      </c>
      <c r="F610" s="2">
        <f t="shared" si="47"/>
        <v>27.858720000000002</v>
      </c>
      <c r="G610" s="2">
        <v>3.81</v>
      </c>
    </row>
    <row r="611" spans="1:14" hidden="1" x14ac:dyDescent="0.25">
      <c r="A611" t="s">
        <v>64</v>
      </c>
      <c r="B611" t="s">
        <v>65</v>
      </c>
      <c r="C611" s="2">
        <v>73.12</v>
      </c>
      <c r="D611" s="1">
        <v>731.2</v>
      </c>
      <c r="E611" s="2" t="s">
        <v>127</v>
      </c>
      <c r="F611" s="2">
        <f t="shared" si="47"/>
        <v>25.957600000000003</v>
      </c>
      <c r="G611" s="2">
        <v>3.55</v>
      </c>
    </row>
    <row r="612" spans="1:14" hidden="1" x14ac:dyDescent="0.25">
      <c r="A612" t="s">
        <v>64</v>
      </c>
      <c r="B612" t="s">
        <v>65</v>
      </c>
      <c r="C612" s="2">
        <v>73.12</v>
      </c>
      <c r="D612" s="1">
        <v>731.2</v>
      </c>
      <c r="E612" s="2" t="s">
        <v>186</v>
      </c>
      <c r="F612" s="2">
        <f t="shared" si="47"/>
        <v>21.49728</v>
      </c>
      <c r="G612" s="2">
        <v>2.94</v>
      </c>
    </row>
    <row r="613" spans="1:14" hidden="1" x14ac:dyDescent="0.25">
      <c r="A613" t="s">
        <v>64</v>
      </c>
      <c r="B613" t="s">
        <v>65</v>
      </c>
      <c r="C613" s="2">
        <v>73.12</v>
      </c>
      <c r="D613" s="1">
        <v>731.2</v>
      </c>
      <c r="E613" s="2" t="s">
        <v>269</v>
      </c>
      <c r="F613" s="2">
        <f t="shared" si="47"/>
        <v>20.766080000000002</v>
      </c>
      <c r="G613" s="2">
        <v>2.8400000000000003</v>
      </c>
    </row>
    <row r="614" spans="1:14" hidden="1" x14ac:dyDescent="0.25">
      <c r="A614" t="s">
        <v>64</v>
      </c>
      <c r="B614" t="s">
        <v>65</v>
      </c>
      <c r="C614" s="2">
        <v>73.12</v>
      </c>
      <c r="D614" s="1">
        <v>731.2</v>
      </c>
      <c r="E614" s="2" t="s">
        <v>178</v>
      </c>
      <c r="F614" s="2">
        <f t="shared" si="47"/>
        <v>15.208960000000001</v>
      </c>
      <c r="G614" s="2">
        <v>2.08</v>
      </c>
    </row>
    <row r="615" spans="1:14" hidden="1" x14ac:dyDescent="0.25">
      <c r="A615" t="s">
        <v>64</v>
      </c>
      <c r="B615" t="s">
        <v>65</v>
      </c>
      <c r="C615" s="2">
        <v>73.12</v>
      </c>
      <c r="D615" s="1">
        <v>731.2</v>
      </c>
      <c r="E615" s="2" t="s">
        <v>270</v>
      </c>
      <c r="F615" s="2">
        <f t="shared" si="47"/>
        <v>12.503520000000002</v>
      </c>
      <c r="G615" s="2">
        <v>1.71</v>
      </c>
    </row>
    <row r="616" spans="1:14" hidden="1" x14ac:dyDescent="0.25">
      <c r="A616" t="s">
        <v>64</v>
      </c>
      <c r="B616" t="s">
        <v>65</v>
      </c>
      <c r="C616" s="2">
        <v>73.12</v>
      </c>
      <c r="D616" s="1">
        <v>731.2</v>
      </c>
      <c r="E616" s="2" t="s">
        <v>132</v>
      </c>
      <c r="F616" s="2">
        <f t="shared" si="47"/>
        <v>10.163679999999999</v>
      </c>
      <c r="G616" s="2">
        <v>1.39</v>
      </c>
    </row>
    <row r="617" spans="1:14" hidden="1" x14ac:dyDescent="0.25">
      <c r="A617" t="s">
        <v>64</v>
      </c>
      <c r="B617" t="s">
        <v>65</v>
      </c>
      <c r="C617" s="2">
        <v>73.12</v>
      </c>
      <c r="D617" s="1">
        <v>731.2</v>
      </c>
      <c r="E617" s="2" t="s">
        <v>165</v>
      </c>
      <c r="F617" s="2">
        <f t="shared" si="47"/>
        <v>9.9443199999999994</v>
      </c>
      <c r="G617" s="2">
        <v>1.3599999999999999</v>
      </c>
    </row>
    <row r="618" spans="1:14" hidden="1" x14ac:dyDescent="0.25">
      <c r="A618" t="s">
        <v>64</v>
      </c>
      <c r="B618" t="s">
        <v>65</v>
      </c>
      <c r="C618" s="2">
        <v>73.12</v>
      </c>
      <c r="D618" s="1">
        <v>731.2</v>
      </c>
      <c r="E618" s="4" t="s">
        <v>96</v>
      </c>
      <c r="F618" s="2">
        <f t="shared" si="47"/>
        <v>28.297440000000002</v>
      </c>
      <c r="G618" s="2">
        <v>3.8699999999999997</v>
      </c>
      <c r="N618" s="2"/>
    </row>
    <row r="619" spans="1:14" x14ac:dyDescent="0.25">
      <c r="A619" t="str">
        <f>A618</f>
        <v>LIFEMAKER PENSION PRESERVER FUND</v>
      </c>
      <c r="B619" t="s">
        <v>65</v>
      </c>
      <c r="C619" s="2">
        <v>73.12</v>
      </c>
      <c r="D619" s="1">
        <v>731.2</v>
      </c>
      <c r="E619" s="4" t="s">
        <v>8</v>
      </c>
      <c r="F619" s="2">
        <f ca="1">SUMIF(A:A,M619,F:F)</f>
        <v>633.07296000000008</v>
      </c>
      <c r="G619" s="2">
        <f ca="1">SUMIF(A:A,M619,G:G)</f>
        <v>86.579999999999984</v>
      </c>
      <c r="I619" s="2">
        <f ca="1">(D619*J619)/100</f>
        <v>98.127040000000122</v>
      </c>
      <c r="J619" s="2">
        <f ca="1">100-G619</f>
        <v>13.420000000000016</v>
      </c>
      <c r="K619" s="2">
        <f>D619/1000</f>
        <v>0.73120000000000007</v>
      </c>
      <c r="M619" t="str">
        <f>A618</f>
        <v>LIFEMAKER PENSION PRESERVER FUND</v>
      </c>
    </row>
    <row r="620" spans="1:14" hidden="1" x14ac:dyDescent="0.25">
      <c r="C620" s="2"/>
    </row>
    <row r="621" spans="1:14" hidden="1" x14ac:dyDescent="0.25">
      <c r="A621" t="s">
        <v>66</v>
      </c>
      <c r="B621" t="s">
        <v>67</v>
      </c>
      <c r="C621" s="2">
        <v>3.15</v>
      </c>
      <c r="D621" s="1">
        <v>31.5</v>
      </c>
      <c r="E621" s="4" t="s">
        <v>93</v>
      </c>
      <c r="N621" s="2"/>
    </row>
    <row r="622" spans="1:14" hidden="1" x14ac:dyDescent="0.25">
      <c r="A622" t="s">
        <v>66</v>
      </c>
      <c r="B622" t="s">
        <v>67</v>
      </c>
      <c r="C622" s="2">
        <v>3.15</v>
      </c>
      <c r="D622" s="1">
        <v>31.5</v>
      </c>
      <c r="E622" t="s">
        <v>2</v>
      </c>
      <c r="F622" s="2">
        <f t="shared" ref="F622:F631" si="48">(D622*G622)/100</f>
        <v>0.34649999999999997</v>
      </c>
      <c r="G622" s="2">
        <v>1.0999999999999999</v>
      </c>
    </row>
    <row r="623" spans="1:14" hidden="1" x14ac:dyDescent="0.25">
      <c r="A623" t="s">
        <v>66</v>
      </c>
      <c r="B623" t="s">
        <v>67</v>
      </c>
      <c r="C623" s="2">
        <v>3.15</v>
      </c>
      <c r="D623" s="1">
        <v>31.5</v>
      </c>
      <c r="E623" t="s">
        <v>4</v>
      </c>
      <c r="F623" s="2">
        <f t="shared" si="48"/>
        <v>0.29610000000000003</v>
      </c>
      <c r="G623" s="2">
        <v>0.94000000000000006</v>
      </c>
    </row>
    <row r="624" spans="1:14" hidden="1" x14ac:dyDescent="0.25">
      <c r="A624" t="s">
        <v>66</v>
      </c>
      <c r="B624" t="s">
        <v>67</v>
      </c>
      <c r="C624" s="2">
        <v>3.15</v>
      </c>
      <c r="D624" s="1">
        <v>31.5</v>
      </c>
      <c r="E624" t="s">
        <v>138</v>
      </c>
      <c r="F624" s="2">
        <f t="shared" si="48"/>
        <v>0.27404999999999996</v>
      </c>
      <c r="G624" s="2">
        <v>0.86999999999999988</v>
      </c>
    </row>
    <row r="625" spans="1:7" hidden="1" x14ac:dyDescent="0.25">
      <c r="A625" t="s">
        <v>66</v>
      </c>
      <c r="B625" t="s">
        <v>67</v>
      </c>
      <c r="C625" s="2">
        <v>3.15</v>
      </c>
      <c r="D625" s="1">
        <v>31.5</v>
      </c>
      <c r="E625" t="s">
        <v>7</v>
      </c>
      <c r="F625" s="2">
        <f t="shared" si="48"/>
        <v>0.20475000000000002</v>
      </c>
      <c r="G625" s="2">
        <v>0.65</v>
      </c>
    </row>
    <row r="626" spans="1:7" hidden="1" x14ac:dyDescent="0.25">
      <c r="A626" t="s">
        <v>66</v>
      </c>
      <c r="B626" t="s">
        <v>67</v>
      </c>
      <c r="C626" s="2">
        <v>3.15</v>
      </c>
      <c r="D626" s="1">
        <v>31.5</v>
      </c>
      <c r="E626" t="s">
        <v>137</v>
      </c>
      <c r="F626" s="2">
        <f t="shared" si="48"/>
        <v>0.2016</v>
      </c>
      <c r="G626" s="2">
        <v>0.64</v>
      </c>
    </row>
    <row r="627" spans="1:7" hidden="1" x14ac:dyDescent="0.25">
      <c r="A627" t="s">
        <v>66</v>
      </c>
      <c r="B627" t="s">
        <v>67</v>
      </c>
      <c r="C627" s="2">
        <v>3.15</v>
      </c>
      <c r="D627" s="1">
        <v>31.5</v>
      </c>
      <c r="E627" t="s">
        <v>3</v>
      </c>
      <c r="F627" s="2">
        <f t="shared" si="48"/>
        <v>0.19214999999999999</v>
      </c>
      <c r="G627" s="2">
        <v>0.61</v>
      </c>
    </row>
    <row r="628" spans="1:7" hidden="1" x14ac:dyDescent="0.25">
      <c r="A628" t="s">
        <v>66</v>
      </c>
      <c r="B628" t="s">
        <v>67</v>
      </c>
      <c r="C628" s="2">
        <v>3.15</v>
      </c>
      <c r="D628" s="1">
        <v>31.5</v>
      </c>
      <c r="E628" t="s">
        <v>116</v>
      </c>
      <c r="F628" s="2">
        <f t="shared" si="48"/>
        <v>0.1638</v>
      </c>
      <c r="G628" s="2">
        <v>0.52</v>
      </c>
    </row>
    <row r="629" spans="1:7" hidden="1" x14ac:dyDescent="0.25">
      <c r="A629" t="s">
        <v>66</v>
      </c>
      <c r="B629" t="s">
        <v>67</v>
      </c>
      <c r="C629" s="2">
        <v>3.15</v>
      </c>
      <c r="D629" s="1">
        <v>31.5</v>
      </c>
      <c r="E629" t="s">
        <v>5</v>
      </c>
      <c r="F629" s="2">
        <f t="shared" si="48"/>
        <v>0.14489999999999997</v>
      </c>
      <c r="G629" s="2">
        <v>0.45999999999999996</v>
      </c>
    </row>
    <row r="630" spans="1:7" hidden="1" x14ac:dyDescent="0.25">
      <c r="A630" t="s">
        <v>66</v>
      </c>
      <c r="B630" t="s">
        <v>67</v>
      </c>
      <c r="C630" s="2">
        <v>3.15</v>
      </c>
      <c r="D630" s="1">
        <v>31.5</v>
      </c>
      <c r="E630" t="s">
        <v>6</v>
      </c>
      <c r="F630" s="2">
        <f t="shared" si="48"/>
        <v>0.14174999999999999</v>
      </c>
      <c r="G630" s="2">
        <v>0.44999999999999996</v>
      </c>
    </row>
    <row r="631" spans="1:7" hidden="1" x14ac:dyDescent="0.25">
      <c r="A631" t="s">
        <v>66</v>
      </c>
      <c r="B631" t="s">
        <v>67</v>
      </c>
      <c r="C631" s="2">
        <v>3.15</v>
      </c>
      <c r="D631" s="1">
        <v>31.5</v>
      </c>
      <c r="E631" t="s">
        <v>13</v>
      </c>
      <c r="F631" s="2">
        <f t="shared" si="48"/>
        <v>0.10395000000000001</v>
      </c>
      <c r="G631" s="2">
        <v>0.33</v>
      </c>
    </row>
    <row r="632" spans="1:7" hidden="1" x14ac:dyDescent="0.25">
      <c r="A632" t="s">
        <v>66</v>
      </c>
      <c r="B632" t="s">
        <v>67</v>
      </c>
      <c r="C632" s="2">
        <v>3.15</v>
      </c>
      <c r="D632" s="1">
        <v>31.5</v>
      </c>
      <c r="E632" s="4" t="s">
        <v>117</v>
      </c>
    </row>
    <row r="633" spans="1:7" hidden="1" x14ac:dyDescent="0.25">
      <c r="A633" t="s">
        <v>66</v>
      </c>
      <c r="B633" t="s">
        <v>67</v>
      </c>
      <c r="C633" s="2">
        <v>3.15</v>
      </c>
      <c r="D633" s="1">
        <v>31.5</v>
      </c>
      <c r="E633" s="2" t="s">
        <v>121</v>
      </c>
      <c r="F633" s="2">
        <f t="shared" ref="F633:F642" si="49">(D633*G633)/100</f>
        <v>5.7266999999999992</v>
      </c>
      <c r="G633" s="2">
        <v>18.18</v>
      </c>
    </row>
    <row r="634" spans="1:7" hidden="1" x14ac:dyDescent="0.25">
      <c r="A634" t="s">
        <v>66</v>
      </c>
      <c r="B634" t="s">
        <v>67</v>
      </c>
      <c r="C634" s="2">
        <v>3.15</v>
      </c>
      <c r="D634" s="1">
        <v>31.5</v>
      </c>
      <c r="E634" s="2" t="s">
        <v>123</v>
      </c>
      <c r="F634" s="2">
        <f t="shared" si="49"/>
        <v>4.60215</v>
      </c>
      <c r="G634" s="2">
        <v>14.610000000000001</v>
      </c>
    </row>
    <row r="635" spans="1:7" hidden="1" x14ac:dyDescent="0.25">
      <c r="A635" t="s">
        <v>66</v>
      </c>
      <c r="B635" t="s">
        <v>67</v>
      </c>
      <c r="C635" s="2">
        <v>3.15</v>
      </c>
      <c r="D635" s="1">
        <v>31.5</v>
      </c>
      <c r="E635" s="2" t="s">
        <v>156</v>
      </c>
      <c r="F635" s="2">
        <f t="shared" si="49"/>
        <v>4.0887000000000002</v>
      </c>
      <c r="G635" s="2">
        <v>12.98</v>
      </c>
    </row>
    <row r="636" spans="1:7" hidden="1" x14ac:dyDescent="0.25">
      <c r="A636" t="s">
        <v>66</v>
      </c>
      <c r="B636" t="s">
        <v>67</v>
      </c>
      <c r="C636" s="2">
        <v>3.15</v>
      </c>
      <c r="D636" s="1">
        <v>31.5</v>
      </c>
      <c r="E636" s="2" t="s">
        <v>120</v>
      </c>
      <c r="F636" s="2">
        <f t="shared" si="49"/>
        <v>2.0916000000000001</v>
      </c>
      <c r="G636" s="2">
        <v>6.64</v>
      </c>
    </row>
    <row r="637" spans="1:7" hidden="1" x14ac:dyDescent="0.25">
      <c r="A637" t="s">
        <v>66</v>
      </c>
      <c r="B637" t="s">
        <v>67</v>
      </c>
      <c r="C637" s="2">
        <v>3.15</v>
      </c>
      <c r="D637" s="1">
        <v>31.5</v>
      </c>
      <c r="E637" s="2" t="s">
        <v>168</v>
      </c>
      <c r="F637" s="2">
        <f t="shared" si="49"/>
        <v>1.5119999999999998</v>
      </c>
      <c r="G637" s="2">
        <v>4.8</v>
      </c>
    </row>
    <row r="638" spans="1:7" hidden="1" x14ac:dyDescent="0.25">
      <c r="A638" t="s">
        <v>66</v>
      </c>
      <c r="B638" t="s">
        <v>67</v>
      </c>
      <c r="C638" s="2">
        <v>3.15</v>
      </c>
      <c r="D638" s="1">
        <v>31.5</v>
      </c>
      <c r="E638" s="2" t="s">
        <v>140</v>
      </c>
      <c r="F638" s="2">
        <f t="shared" si="49"/>
        <v>1.10565</v>
      </c>
      <c r="G638" s="2">
        <v>3.51</v>
      </c>
    </row>
    <row r="639" spans="1:7" hidden="1" x14ac:dyDescent="0.25">
      <c r="A639" t="s">
        <v>66</v>
      </c>
      <c r="B639" t="s">
        <v>67</v>
      </c>
      <c r="C639" s="2">
        <v>3.15</v>
      </c>
      <c r="D639" s="1">
        <v>31.5</v>
      </c>
      <c r="E639" s="2" t="s">
        <v>118</v>
      </c>
      <c r="F639" s="2">
        <f t="shared" si="49"/>
        <v>0.48825000000000002</v>
      </c>
      <c r="G639" s="2">
        <v>1.55</v>
      </c>
    </row>
    <row r="640" spans="1:7" hidden="1" x14ac:dyDescent="0.25">
      <c r="A640" t="s">
        <v>66</v>
      </c>
      <c r="B640" t="s">
        <v>67</v>
      </c>
      <c r="C640" s="2">
        <v>3.15</v>
      </c>
      <c r="D640" s="1">
        <v>31.5</v>
      </c>
      <c r="E640" s="2" t="s">
        <v>139</v>
      </c>
      <c r="F640" s="2">
        <f t="shared" si="49"/>
        <v>0.46619999999999995</v>
      </c>
      <c r="G640" s="2">
        <v>1.48</v>
      </c>
    </row>
    <row r="641" spans="1:14" hidden="1" x14ac:dyDescent="0.25">
      <c r="A641" t="s">
        <v>66</v>
      </c>
      <c r="B641" t="s">
        <v>67</v>
      </c>
      <c r="C641" s="2">
        <v>3.15</v>
      </c>
      <c r="D641" s="1">
        <v>31.5</v>
      </c>
      <c r="E641" s="2" t="s">
        <v>183</v>
      </c>
      <c r="F641" s="2">
        <f t="shared" si="49"/>
        <v>0.37485000000000007</v>
      </c>
      <c r="G641" s="2">
        <v>1.1900000000000002</v>
      </c>
    </row>
    <row r="642" spans="1:14" hidden="1" x14ac:dyDescent="0.25">
      <c r="A642" t="s">
        <v>66</v>
      </c>
      <c r="B642" t="s">
        <v>67</v>
      </c>
      <c r="C642" s="2">
        <v>3.15</v>
      </c>
      <c r="D642" s="1">
        <v>31.5</v>
      </c>
      <c r="E642" s="2" t="s">
        <v>142</v>
      </c>
      <c r="F642" s="2">
        <f t="shared" si="49"/>
        <v>0.10709999999999999</v>
      </c>
      <c r="G642" s="2">
        <v>0.33999999999999997</v>
      </c>
      <c r="N642" s="2"/>
    </row>
    <row r="643" spans="1:14" hidden="1" x14ac:dyDescent="0.25">
      <c r="A643" t="s">
        <v>66</v>
      </c>
      <c r="B643" t="s">
        <v>67</v>
      </c>
      <c r="C643" s="2">
        <v>3.15</v>
      </c>
      <c r="D643" s="1">
        <v>31.5</v>
      </c>
      <c r="E643" s="6" t="s">
        <v>126</v>
      </c>
    </row>
    <row r="644" spans="1:14" hidden="1" x14ac:dyDescent="0.25">
      <c r="A644" t="s">
        <v>66</v>
      </c>
      <c r="B644" t="s">
        <v>67</v>
      </c>
      <c r="C644" s="2">
        <v>3.15</v>
      </c>
      <c r="D644" s="1">
        <v>31.5</v>
      </c>
      <c r="E644" s="2" t="s">
        <v>265</v>
      </c>
      <c r="F644" s="2">
        <f t="shared" ref="F644:F649" si="50">(D644*G644)/100</f>
        <v>2.06325</v>
      </c>
      <c r="G644" s="2">
        <v>6.5500000000000007</v>
      </c>
    </row>
    <row r="645" spans="1:14" hidden="1" x14ac:dyDescent="0.25">
      <c r="A645" t="s">
        <v>66</v>
      </c>
      <c r="B645" t="s">
        <v>67</v>
      </c>
      <c r="C645" s="2">
        <v>3.15</v>
      </c>
      <c r="D645" s="1">
        <v>31.5</v>
      </c>
      <c r="E645" s="2" t="s">
        <v>199</v>
      </c>
      <c r="F645" s="2">
        <f t="shared" si="50"/>
        <v>1.0143</v>
      </c>
      <c r="G645" s="2">
        <v>3.2199999999999998</v>
      </c>
    </row>
    <row r="646" spans="1:14" hidden="1" x14ac:dyDescent="0.25">
      <c r="A646" t="s">
        <v>66</v>
      </c>
      <c r="B646" t="s">
        <v>67</v>
      </c>
      <c r="C646" s="2">
        <v>3.15</v>
      </c>
      <c r="D646" s="1">
        <v>31.5</v>
      </c>
      <c r="E646" s="2" t="s">
        <v>271</v>
      </c>
      <c r="F646" s="2">
        <f t="shared" si="50"/>
        <v>1.0111499999999998</v>
      </c>
      <c r="G646" s="2">
        <v>3.2099999999999995</v>
      </c>
    </row>
    <row r="647" spans="1:14" hidden="1" x14ac:dyDescent="0.25">
      <c r="A647" t="s">
        <v>66</v>
      </c>
      <c r="B647" t="s">
        <v>67</v>
      </c>
      <c r="C647" s="2">
        <v>3.15</v>
      </c>
      <c r="D647" s="1">
        <v>31.5</v>
      </c>
      <c r="E647" s="2" t="s">
        <v>186</v>
      </c>
      <c r="F647" s="2">
        <f t="shared" si="50"/>
        <v>0.30554999999999999</v>
      </c>
      <c r="G647" s="2">
        <v>0.97</v>
      </c>
    </row>
    <row r="648" spans="1:14" hidden="1" x14ac:dyDescent="0.25">
      <c r="A648" t="s">
        <v>66</v>
      </c>
      <c r="B648" t="s">
        <v>67</v>
      </c>
      <c r="C648" s="2">
        <v>3.15</v>
      </c>
      <c r="D648" s="1">
        <v>31.5</v>
      </c>
      <c r="E648" s="2" t="s">
        <v>272</v>
      </c>
      <c r="F648" s="2">
        <f t="shared" si="50"/>
        <v>0.3024</v>
      </c>
      <c r="G648" s="2">
        <v>0.96</v>
      </c>
    </row>
    <row r="649" spans="1:14" hidden="1" x14ac:dyDescent="0.25">
      <c r="A649" t="s">
        <v>66</v>
      </c>
      <c r="B649" t="s">
        <v>67</v>
      </c>
      <c r="C649" s="2">
        <v>3.15</v>
      </c>
      <c r="D649" s="1">
        <v>31.5</v>
      </c>
      <c r="E649" s="4" t="s">
        <v>96</v>
      </c>
      <c r="F649" s="2">
        <f t="shared" si="50"/>
        <v>2.8696499999999996</v>
      </c>
      <c r="G649" s="2">
        <v>9.11</v>
      </c>
    </row>
    <row r="650" spans="1:14" x14ac:dyDescent="0.25">
      <c r="A650" t="str">
        <f>A649</f>
        <v>PENSION LIFE CONSERVATIVE FUND</v>
      </c>
      <c r="B650" t="s">
        <v>67</v>
      </c>
      <c r="C650" s="2">
        <v>3.15</v>
      </c>
      <c r="D650" s="1">
        <v>31.5</v>
      </c>
      <c r="E650" s="4" t="s">
        <v>8</v>
      </c>
      <c r="F650" s="2">
        <f ca="1">SUMIF(A:A,M650,F:F)</f>
        <v>30.199049999999996</v>
      </c>
      <c r="G650" s="2">
        <f ca="1">SUMIF(A:A,M650,G:G)</f>
        <v>95.86999999999999</v>
      </c>
      <c r="I650" s="2">
        <f ca="1">(D650*J650)/100</f>
        <v>1.3009500000000032</v>
      </c>
      <c r="J650" s="2">
        <f ca="1">100-G650</f>
        <v>4.1300000000000097</v>
      </c>
      <c r="K650" s="2">
        <f>D650/1000</f>
        <v>3.15E-2</v>
      </c>
      <c r="M650" t="str">
        <f>A649</f>
        <v>PENSION LIFE CONSERVATIVE FUND</v>
      </c>
    </row>
    <row r="651" spans="1:14" hidden="1" x14ac:dyDescent="0.25">
      <c r="C651" s="2"/>
      <c r="D651" s="1"/>
    </row>
    <row r="652" spans="1:14" hidden="1" x14ac:dyDescent="0.25">
      <c r="A652" t="s">
        <v>68</v>
      </c>
      <c r="B652" t="s">
        <v>69</v>
      </c>
      <c r="C652" s="2">
        <v>22.25</v>
      </c>
      <c r="D652" s="1">
        <v>222.5</v>
      </c>
      <c r="E652" s="4" t="s">
        <v>117</v>
      </c>
    </row>
    <row r="653" spans="1:14" hidden="1" x14ac:dyDescent="0.25">
      <c r="A653" t="s">
        <v>68</v>
      </c>
      <c r="B653" t="s">
        <v>69</v>
      </c>
      <c r="C653" s="2">
        <v>22.25</v>
      </c>
      <c r="D653" s="1">
        <v>222.5</v>
      </c>
      <c r="E653" s="2" t="s">
        <v>118</v>
      </c>
      <c r="F653" s="2">
        <f t="shared" ref="F653:F662" si="51">(D653*G653)/100</f>
        <v>40.317</v>
      </c>
      <c r="G653" s="2">
        <v>18.12</v>
      </c>
    </row>
    <row r="654" spans="1:14" hidden="1" x14ac:dyDescent="0.25">
      <c r="A654" t="s">
        <v>68</v>
      </c>
      <c r="B654" t="s">
        <v>69</v>
      </c>
      <c r="C654" s="2">
        <v>22.25</v>
      </c>
      <c r="D654" s="1">
        <v>222.5</v>
      </c>
      <c r="E654" s="2" t="s">
        <v>156</v>
      </c>
      <c r="F654" s="2">
        <f t="shared" si="51"/>
        <v>27.656749999999999</v>
      </c>
      <c r="G654" s="2">
        <v>12.43</v>
      </c>
    </row>
    <row r="655" spans="1:14" hidden="1" x14ac:dyDescent="0.25">
      <c r="A655" t="s">
        <v>68</v>
      </c>
      <c r="B655" t="s">
        <v>69</v>
      </c>
      <c r="C655" s="2">
        <v>22.25</v>
      </c>
      <c r="D655" s="1">
        <v>222.5</v>
      </c>
      <c r="E655" s="2" t="s">
        <v>123</v>
      </c>
      <c r="F655" s="2">
        <f t="shared" si="51"/>
        <v>23.406999999999996</v>
      </c>
      <c r="G655" s="2">
        <v>10.52</v>
      </c>
    </row>
    <row r="656" spans="1:14" hidden="1" x14ac:dyDescent="0.25">
      <c r="A656" t="s">
        <v>68</v>
      </c>
      <c r="B656" t="s">
        <v>69</v>
      </c>
      <c r="C656" s="2">
        <v>22.25</v>
      </c>
      <c r="D656" s="1">
        <v>222.5</v>
      </c>
      <c r="E656" s="2" t="s">
        <v>121</v>
      </c>
      <c r="F656" s="2">
        <f t="shared" si="51"/>
        <v>21.293249999999997</v>
      </c>
      <c r="G656" s="2">
        <v>9.5699999999999985</v>
      </c>
    </row>
    <row r="657" spans="1:14" hidden="1" x14ac:dyDescent="0.25">
      <c r="A657" t="s">
        <v>68</v>
      </c>
      <c r="B657" t="s">
        <v>69</v>
      </c>
      <c r="C657" s="2">
        <v>22.25</v>
      </c>
      <c r="D657" s="1">
        <v>222.5</v>
      </c>
      <c r="E657" s="2" t="s">
        <v>167</v>
      </c>
      <c r="F657" s="2">
        <f t="shared" si="51"/>
        <v>13.861750000000002</v>
      </c>
      <c r="G657" s="2">
        <v>6.23</v>
      </c>
    </row>
    <row r="658" spans="1:14" hidden="1" x14ac:dyDescent="0.25">
      <c r="A658" t="s">
        <v>68</v>
      </c>
      <c r="B658" t="s">
        <v>69</v>
      </c>
      <c r="C658" s="2">
        <v>22.25</v>
      </c>
      <c r="D658" s="1">
        <v>222.5</v>
      </c>
      <c r="E658" s="2" t="s">
        <v>273</v>
      </c>
      <c r="F658" s="2">
        <f t="shared" si="51"/>
        <v>4.2720000000000002</v>
      </c>
      <c r="G658" s="2">
        <v>1.92</v>
      </c>
    </row>
    <row r="659" spans="1:14" hidden="1" x14ac:dyDescent="0.25">
      <c r="A659" t="s">
        <v>68</v>
      </c>
      <c r="B659" t="s">
        <v>69</v>
      </c>
      <c r="C659" s="2">
        <v>22.25</v>
      </c>
      <c r="D659" s="1">
        <v>222.5</v>
      </c>
      <c r="E659" s="2" t="s">
        <v>176</v>
      </c>
      <c r="F659" s="2">
        <f t="shared" si="51"/>
        <v>1.5797500000000002</v>
      </c>
      <c r="G659" s="2">
        <v>0.71000000000000008</v>
      </c>
    </row>
    <row r="660" spans="1:14" hidden="1" x14ac:dyDescent="0.25">
      <c r="A660" t="s">
        <v>68</v>
      </c>
      <c r="B660" t="s">
        <v>69</v>
      </c>
      <c r="C660" s="2">
        <v>22.25</v>
      </c>
      <c r="D660" s="1">
        <v>222.5</v>
      </c>
      <c r="E660" s="2" t="s">
        <v>141</v>
      </c>
      <c r="F660" s="2">
        <f t="shared" si="51"/>
        <v>1.0234999999999999</v>
      </c>
      <c r="G660" s="2">
        <v>0.45999999999999996</v>
      </c>
    </row>
    <row r="661" spans="1:14" hidden="1" x14ac:dyDescent="0.25">
      <c r="A661" t="s">
        <v>68</v>
      </c>
      <c r="B661" t="s">
        <v>69</v>
      </c>
      <c r="C661" s="2">
        <v>22.25</v>
      </c>
      <c r="D661" s="1">
        <v>222.5</v>
      </c>
      <c r="E661" s="2" t="s">
        <v>274</v>
      </c>
      <c r="F661" s="2">
        <f t="shared" si="51"/>
        <v>0.77875000000000016</v>
      </c>
      <c r="G661" s="2">
        <v>0.35000000000000003</v>
      </c>
    </row>
    <row r="662" spans="1:14" hidden="1" x14ac:dyDescent="0.25">
      <c r="A662" t="s">
        <v>68</v>
      </c>
      <c r="B662" t="s">
        <v>69</v>
      </c>
      <c r="C662" s="2">
        <v>22.25</v>
      </c>
      <c r="D662" s="1">
        <v>222.5</v>
      </c>
      <c r="E662" s="2" t="s">
        <v>142</v>
      </c>
      <c r="F662" s="2">
        <f t="shared" si="51"/>
        <v>0.57850000000000001</v>
      </c>
      <c r="G662" s="2">
        <v>0.26</v>
      </c>
    </row>
    <row r="663" spans="1:14" hidden="1" x14ac:dyDescent="0.25">
      <c r="A663" t="s">
        <v>68</v>
      </c>
      <c r="B663" t="s">
        <v>69</v>
      </c>
      <c r="C663" s="2">
        <v>22.25</v>
      </c>
      <c r="D663" s="1">
        <v>222.5</v>
      </c>
      <c r="E663" s="5" t="s">
        <v>126</v>
      </c>
      <c r="N663" s="2"/>
    </row>
    <row r="664" spans="1:14" hidden="1" x14ac:dyDescent="0.25">
      <c r="A664" t="s">
        <v>68</v>
      </c>
      <c r="B664" t="s">
        <v>69</v>
      </c>
      <c r="C664" s="2">
        <v>22.25</v>
      </c>
      <c r="D664" s="1">
        <v>222.5</v>
      </c>
      <c r="E664" s="2" t="s">
        <v>165</v>
      </c>
      <c r="F664" s="2">
        <f t="shared" ref="F664:F674" si="52">(D664*G664)/100</f>
        <v>13.972999999999999</v>
      </c>
      <c r="G664" s="2">
        <v>6.2799999999999994</v>
      </c>
    </row>
    <row r="665" spans="1:14" hidden="1" x14ac:dyDescent="0.25">
      <c r="A665" t="s">
        <v>68</v>
      </c>
      <c r="B665" t="s">
        <v>69</v>
      </c>
      <c r="C665" s="2">
        <v>22.25</v>
      </c>
      <c r="D665" s="1">
        <v>222.5</v>
      </c>
      <c r="E665" s="2" t="s">
        <v>269</v>
      </c>
      <c r="F665" s="2">
        <f t="shared" si="52"/>
        <v>10.368500000000001</v>
      </c>
      <c r="G665" s="2">
        <v>4.66</v>
      </c>
    </row>
    <row r="666" spans="1:14" hidden="1" x14ac:dyDescent="0.25">
      <c r="A666" t="s">
        <v>68</v>
      </c>
      <c r="B666" t="s">
        <v>69</v>
      </c>
      <c r="C666" s="2">
        <v>22.25</v>
      </c>
      <c r="D666" s="1">
        <v>222.5</v>
      </c>
      <c r="E666" s="2" t="s">
        <v>132</v>
      </c>
      <c r="F666" s="2">
        <f t="shared" si="52"/>
        <v>10.146000000000001</v>
      </c>
      <c r="G666" s="2">
        <v>4.5600000000000005</v>
      </c>
    </row>
    <row r="667" spans="1:14" hidden="1" x14ac:dyDescent="0.25">
      <c r="A667" t="s">
        <v>68</v>
      </c>
      <c r="B667" t="s">
        <v>69</v>
      </c>
      <c r="C667" s="2">
        <v>22.25</v>
      </c>
      <c r="D667" s="1">
        <v>222.5</v>
      </c>
      <c r="E667" s="2" t="s">
        <v>145</v>
      </c>
      <c r="F667" s="2">
        <f t="shared" si="52"/>
        <v>9.9679999999999982</v>
      </c>
      <c r="G667" s="2">
        <v>4.4799999999999995</v>
      </c>
    </row>
    <row r="668" spans="1:14" hidden="1" x14ac:dyDescent="0.25">
      <c r="A668" t="s">
        <v>68</v>
      </c>
      <c r="B668" t="s">
        <v>69</v>
      </c>
      <c r="C668" s="2">
        <v>22.25</v>
      </c>
      <c r="D668" s="1">
        <v>222.5</v>
      </c>
      <c r="E668" s="2" t="s">
        <v>133</v>
      </c>
      <c r="F668" s="2">
        <f t="shared" si="52"/>
        <v>7.9432500000000008</v>
      </c>
      <c r="G668" s="2">
        <v>3.5700000000000003</v>
      </c>
    </row>
    <row r="669" spans="1:14" hidden="1" x14ac:dyDescent="0.25">
      <c r="A669" t="s">
        <v>68</v>
      </c>
      <c r="B669" t="s">
        <v>69</v>
      </c>
      <c r="C669" s="2">
        <v>22.25</v>
      </c>
      <c r="D669" s="1">
        <v>222.5</v>
      </c>
      <c r="E669" s="2" t="s">
        <v>265</v>
      </c>
      <c r="F669" s="2">
        <f t="shared" si="52"/>
        <v>5.161999999999999</v>
      </c>
      <c r="G669" s="2">
        <v>2.3199999999999998</v>
      </c>
    </row>
    <row r="670" spans="1:14" hidden="1" x14ac:dyDescent="0.25">
      <c r="A670" t="s">
        <v>68</v>
      </c>
      <c r="B670" t="s">
        <v>69</v>
      </c>
      <c r="C670" s="2">
        <v>22.25</v>
      </c>
      <c r="D670" s="1">
        <v>222.5</v>
      </c>
      <c r="E670" s="2" t="s">
        <v>129</v>
      </c>
      <c r="F670" s="2">
        <f t="shared" si="52"/>
        <v>5.0284999999999993</v>
      </c>
      <c r="G670" s="2">
        <v>2.2599999999999998</v>
      </c>
    </row>
    <row r="671" spans="1:14" hidden="1" x14ac:dyDescent="0.25">
      <c r="A671" t="s">
        <v>68</v>
      </c>
      <c r="B671" t="s">
        <v>69</v>
      </c>
      <c r="C671" s="2">
        <v>22.25</v>
      </c>
      <c r="D671" s="1">
        <v>222.5</v>
      </c>
      <c r="E671" s="2" t="s">
        <v>127</v>
      </c>
      <c r="F671" s="2">
        <f t="shared" si="52"/>
        <v>3.9827500000000002</v>
      </c>
      <c r="G671" s="2">
        <v>1.79</v>
      </c>
    </row>
    <row r="672" spans="1:14" hidden="1" x14ac:dyDescent="0.25">
      <c r="A672" t="s">
        <v>68</v>
      </c>
      <c r="B672" t="s">
        <v>69</v>
      </c>
      <c r="C672" s="2">
        <v>22.25</v>
      </c>
      <c r="D672" s="1">
        <v>222.5</v>
      </c>
      <c r="E672" s="2" t="s">
        <v>275</v>
      </c>
      <c r="F672" s="2">
        <f t="shared" si="52"/>
        <v>3.0482500000000003</v>
      </c>
      <c r="G672" s="2">
        <v>1.37</v>
      </c>
    </row>
    <row r="673" spans="1:14" hidden="1" x14ac:dyDescent="0.25">
      <c r="A673" t="s">
        <v>68</v>
      </c>
      <c r="B673" t="s">
        <v>69</v>
      </c>
      <c r="C673" s="2">
        <v>22.25</v>
      </c>
      <c r="D673" s="1">
        <v>222.5</v>
      </c>
      <c r="E673" t="s">
        <v>179</v>
      </c>
      <c r="F673" s="2">
        <f t="shared" si="52"/>
        <v>2.6922499999999996</v>
      </c>
      <c r="G673" s="2">
        <v>1.21</v>
      </c>
      <c r="N673" s="2"/>
    </row>
    <row r="674" spans="1:14" hidden="1" x14ac:dyDescent="0.25">
      <c r="A674" t="s">
        <v>68</v>
      </c>
      <c r="B674" t="s">
        <v>69</v>
      </c>
      <c r="C674" s="2">
        <v>22.25</v>
      </c>
      <c r="D674" s="1">
        <v>222.5</v>
      </c>
      <c r="E674" s="4" t="s">
        <v>96</v>
      </c>
      <c r="F674" s="2">
        <f t="shared" si="52"/>
        <v>12.126250000000001</v>
      </c>
      <c r="G674" s="2">
        <v>5.45</v>
      </c>
    </row>
    <row r="675" spans="1:14" x14ac:dyDescent="0.25">
      <c r="A675" t="str">
        <f>A674</f>
        <v>PENSION LIFE SECURED FUND</v>
      </c>
      <c r="B675" t="s">
        <v>69</v>
      </c>
      <c r="C675" s="2">
        <v>22.25</v>
      </c>
      <c r="D675" s="1">
        <v>222.5</v>
      </c>
      <c r="E675" s="4" t="s">
        <v>8</v>
      </c>
      <c r="F675" s="2">
        <f ca="1">SUMIF(A:A,M675,F:F)</f>
        <v>219.20699999999999</v>
      </c>
      <c r="G675" s="2">
        <f ca="1">SUMIF(A:A,M675,G:G)</f>
        <v>98.52000000000001</v>
      </c>
      <c r="I675" s="2">
        <f ca="1">(D675*J675)/100</f>
        <v>3.2929999999999775</v>
      </c>
      <c r="J675" s="2">
        <f ca="1">100-G675</f>
        <v>1.4799999999999898</v>
      </c>
      <c r="K675" s="2">
        <f>D675/1000</f>
        <v>0.2225</v>
      </c>
      <c r="M675" t="str">
        <f>A674</f>
        <v>PENSION LIFE SECURED FUND</v>
      </c>
    </row>
    <row r="676" spans="1:14" hidden="1" x14ac:dyDescent="0.25">
      <c r="C676" s="2"/>
      <c r="D676" s="1"/>
    </row>
    <row r="677" spans="1:14" hidden="1" x14ac:dyDescent="0.25">
      <c r="A677" t="s">
        <v>70</v>
      </c>
      <c r="B677" t="s">
        <v>71</v>
      </c>
      <c r="C677" s="2">
        <v>165.35</v>
      </c>
      <c r="D677" s="1">
        <v>1653.5</v>
      </c>
      <c r="E677" s="4" t="s">
        <v>117</v>
      </c>
    </row>
    <row r="678" spans="1:14" hidden="1" x14ac:dyDescent="0.25">
      <c r="A678" t="s">
        <v>70</v>
      </c>
      <c r="B678" t="s">
        <v>71</v>
      </c>
      <c r="C678" s="2">
        <v>165.35</v>
      </c>
      <c r="D678" s="1">
        <v>1653.5</v>
      </c>
      <c r="E678" s="3" t="s">
        <v>276</v>
      </c>
      <c r="F678" s="2">
        <f t="shared" ref="F678:F688" si="53">(D678*G678)/100</f>
        <v>317.80270000000002</v>
      </c>
      <c r="G678" s="2">
        <v>19.220000000000002</v>
      </c>
    </row>
    <row r="679" spans="1:14" hidden="1" x14ac:dyDescent="0.25">
      <c r="A679" t="s">
        <v>70</v>
      </c>
      <c r="B679" t="s">
        <v>71</v>
      </c>
      <c r="C679" s="2">
        <v>165.35</v>
      </c>
      <c r="D679" s="1">
        <v>1653.5</v>
      </c>
      <c r="E679" t="s">
        <v>244</v>
      </c>
      <c r="F679" s="2">
        <f t="shared" si="53"/>
        <v>199.0814</v>
      </c>
      <c r="G679" s="2">
        <v>12.04</v>
      </c>
    </row>
    <row r="680" spans="1:14" hidden="1" x14ac:dyDescent="0.25">
      <c r="A680" t="s">
        <v>70</v>
      </c>
      <c r="B680" t="s">
        <v>71</v>
      </c>
      <c r="C680" s="2">
        <v>165.35</v>
      </c>
      <c r="D680" s="1">
        <v>1653.5</v>
      </c>
      <c r="E680" t="s">
        <v>250</v>
      </c>
      <c r="F680" s="2">
        <f t="shared" si="53"/>
        <v>149.14570000000001</v>
      </c>
      <c r="G680" s="2">
        <v>9.02</v>
      </c>
    </row>
    <row r="681" spans="1:14" hidden="1" x14ac:dyDescent="0.25">
      <c r="A681" t="s">
        <v>70</v>
      </c>
      <c r="B681" t="s">
        <v>71</v>
      </c>
      <c r="C681" s="2">
        <v>165.35</v>
      </c>
      <c r="D681" s="1">
        <v>1653.5</v>
      </c>
      <c r="E681" t="s">
        <v>243</v>
      </c>
      <c r="F681" s="2">
        <f t="shared" si="53"/>
        <v>148.64965000000001</v>
      </c>
      <c r="G681" s="2">
        <v>8.99</v>
      </c>
    </row>
    <row r="682" spans="1:14" hidden="1" x14ac:dyDescent="0.25">
      <c r="A682" t="s">
        <v>70</v>
      </c>
      <c r="B682" t="s">
        <v>71</v>
      </c>
      <c r="C682" s="2">
        <v>165.35</v>
      </c>
      <c r="D682" s="1">
        <v>1653.5</v>
      </c>
      <c r="E682" t="s">
        <v>277</v>
      </c>
      <c r="F682" s="2">
        <f t="shared" si="53"/>
        <v>98.713950000000011</v>
      </c>
      <c r="G682" s="2">
        <v>5.9700000000000006</v>
      </c>
    </row>
    <row r="683" spans="1:14" hidden="1" x14ac:dyDescent="0.25">
      <c r="A683" t="s">
        <v>70</v>
      </c>
      <c r="B683" t="s">
        <v>71</v>
      </c>
      <c r="C683" s="2">
        <v>165.35</v>
      </c>
      <c r="D683" s="1">
        <v>1653.5</v>
      </c>
      <c r="E683" t="s">
        <v>251</v>
      </c>
      <c r="F683" s="2">
        <f t="shared" si="53"/>
        <v>95.903000000000006</v>
      </c>
      <c r="G683" s="2">
        <v>5.8000000000000007</v>
      </c>
    </row>
    <row r="684" spans="1:14" hidden="1" x14ac:dyDescent="0.25">
      <c r="A684" t="s">
        <v>70</v>
      </c>
      <c r="B684" t="s">
        <v>71</v>
      </c>
      <c r="C684" s="2">
        <v>165.35</v>
      </c>
      <c r="D684" s="1">
        <v>1653.5</v>
      </c>
      <c r="E684" t="s">
        <v>278</v>
      </c>
      <c r="F684" s="2">
        <f t="shared" si="53"/>
        <v>87.139449999999997</v>
      </c>
      <c r="G684" s="2">
        <v>5.27</v>
      </c>
    </row>
    <row r="685" spans="1:14" hidden="1" x14ac:dyDescent="0.25">
      <c r="A685" t="s">
        <v>70</v>
      </c>
      <c r="B685" t="s">
        <v>71</v>
      </c>
      <c r="C685" s="2">
        <v>165.35</v>
      </c>
      <c r="D685" s="1">
        <v>1653.5</v>
      </c>
      <c r="E685" t="s">
        <v>279</v>
      </c>
      <c r="F685" s="2">
        <f t="shared" si="53"/>
        <v>68.28955000000002</v>
      </c>
      <c r="G685" s="2">
        <v>4.1300000000000008</v>
      </c>
    </row>
    <row r="686" spans="1:14" hidden="1" x14ac:dyDescent="0.25">
      <c r="A686" t="s">
        <v>70</v>
      </c>
      <c r="B686" t="s">
        <v>71</v>
      </c>
      <c r="C686" s="2">
        <v>165.35</v>
      </c>
      <c r="D686" s="1">
        <v>1653.5</v>
      </c>
      <c r="E686" t="s">
        <v>280</v>
      </c>
      <c r="F686" s="2">
        <f t="shared" si="53"/>
        <v>67.628149999999991</v>
      </c>
      <c r="G686" s="2">
        <v>4.09</v>
      </c>
    </row>
    <row r="687" spans="1:14" hidden="1" x14ac:dyDescent="0.25">
      <c r="A687" t="s">
        <v>70</v>
      </c>
      <c r="B687" t="s">
        <v>71</v>
      </c>
      <c r="C687" s="2">
        <v>165.35</v>
      </c>
      <c r="D687" s="1">
        <v>1653.5</v>
      </c>
      <c r="E687" t="s">
        <v>281</v>
      </c>
      <c r="F687" s="2">
        <f t="shared" si="53"/>
        <v>28.936250000000005</v>
      </c>
      <c r="G687" s="2">
        <v>1.7500000000000002</v>
      </c>
      <c r="N687" s="2"/>
    </row>
    <row r="688" spans="1:14" hidden="1" x14ac:dyDescent="0.25">
      <c r="A688" t="s">
        <v>70</v>
      </c>
      <c r="B688" t="s">
        <v>71</v>
      </c>
      <c r="C688" s="2">
        <v>165.35</v>
      </c>
      <c r="D688" s="1">
        <v>1653.5</v>
      </c>
      <c r="E688" s="4" t="s">
        <v>96</v>
      </c>
      <c r="F688" s="2">
        <f t="shared" si="53"/>
        <v>364.26605000000001</v>
      </c>
      <c r="G688" s="2">
        <v>22.03</v>
      </c>
    </row>
    <row r="689" spans="1:14" x14ac:dyDescent="0.25">
      <c r="A689" t="str">
        <f>A688</f>
        <v>DISCONTINUANCE FUND PENSION</v>
      </c>
      <c r="B689" t="s">
        <v>71</v>
      </c>
      <c r="C689" s="2">
        <v>165.35</v>
      </c>
      <c r="D689" s="1">
        <v>1653.5</v>
      </c>
      <c r="E689" s="4" t="s">
        <v>8</v>
      </c>
      <c r="F689" s="2">
        <f ca="1">SUMIF(A:A,M689,F:F)</f>
        <v>1625.55585</v>
      </c>
      <c r="G689" s="2">
        <f ca="1">SUMIF(A:A,M689,G:G)</f>
        <v>98.31</v>
      </c>
      <c r="I689" s="2">
        <f ca="1">(D689*J689)/100</f>
        <v>27.944149999999965</v>
      </c>
      <c r="J689" s="2">
        <f ca="1">100-G689</f>
        <v>1.6899999999999977</v>
      </c>
      <c r="K689" s="2">
        <f>D689/1000</f>
        <v>1.6535</v>
      </c>
      <c r="M689" t="str">
        <f>A688</f>
        <v>DISCONTINUANCE FUND PENSION</v>
      </c>
    </row>
    <row r="690" spans="1:14" hidden="1" x14ac:dyDescent="0.25">
      <c r="C690" s="2"/>
      <c r="D690" s="1"/>
      <c r="N690" s="2"/>
    </row>
    <row r="691" spans="1:14" hidden="1" x14ac:dyDescent="0.25">
      <c r="A691" t="s">
        <v>72</v>
      </c>
      <c r="B691" t="s">
        <v>73</v>
      </c>
      <c r="C691" s="2">
        <v>65.36</v>
      </c>
      <c r="D691" s="1">
        <v>653.6</v>
      </c>
      <c r="E691" s="4" t="s">
        <v>93</v>
      </c>
    </row>
    <row r="692" spans="1:14" hidden="1" x14ac:dyDescent="0.25">
      <c r="A692" t="s">
        <v>72</v>
      </c>
      <c r="B692" t="s">
        <v>73</v>
      </c>
      <c r="C692" s="2">
        <v>65.36</v>
      </c>
      <c r="D692" s="1">
        <v>653.6</v>
      </c>
      <c r="E692" t="s">
        <v>4</v>
      </c>
      <c r="F692" s="2">
        <f t="shared" ref="F692:F701" si="54">(D692*G692)/100</f>
        <v>31.111360000000005</v>
      </c>
      <c r="G692" s="2">
        <v>4.7600000000000007</v>
      </c>
    </row>
    <row r="693" spans="1:14" hidden="1" x14ac:dyDescent="0.25">
      <c r="A693" t="s">
        <v>72</v>
      </c>
      <c r="B693" t="s">
        <v>73</v>
      </c>
      <c r="C693" s="2">
        <v>65.36</v>
      </c>
      <c r="D693" s="1">
        <v>653.6</v>
      </c>
      <c r="E693" t="s">
        <v>2</v>
      </c>
      <c r="F693" s="2">
        <f t="shared" si="54"/>
        <v>30.0656</v>
      </c>
      <c r="G693" s="2">
        <v>4.5999999999999996</v>
      </c>
    </row>
    <row r="694" spans="1:14" hidden="1" x14ac:dyDescent="0.25">
      <c r="A694" t="s">
        <v>72</v>
      </c>
      <c r="B694" t="s">
        <v>73</v>
      </c>
      <c r="C694" s="2">
        <v>65.36</v>
      </c>
      <c r="D694" s="1">
        <v>653.6</v>
      </c>
      <c r="E694" t="s">
        <v>3</v>
      </c>
      <c r="F694" s="2">
        <f t="shared" si="54"/>
        <v>27.974080000000001</v>
      </c>
      <c r="G694" s="2">
        <v>4.2799999999999994</v>
      </c>
    </row>
    <row r="695" spans="1:14" hidden="1" x14ac:dyDescent="0.25">
      <c r="A695" t="s">
        <v>72</v>
      </c>
      <c r="B695" t="s">
        <v>73</v>
      </c>
      <c r="C695" s="2">
        <v>65.36</v>
      </c>
      <c r="D695" s="1">
        <v>653.6</v>
      </c>
      <c r="E695" t="s">
        <v>7</v>
      </c>
      <c r="F695" s="2">
        <f t="shared" si="54"/>
        <v>17.908640000000002</v>
      </c>
      <c r="G695" s="2">
        <v>2.74</v>
      </c>
    </row>
    <row r="696" spans="1:14" hidden="1" x14ac:dyDescent="0.25">
      <c r="A696" t="s">
        <v>72</v>
      </c>
      <c r="B696" t="s">
        <v>73</v>
      </c>
      <c r="C696" s="2">
        <v>65.36</v>
      </c>
      <c r="D696" s="1">
        <v>653.6</v>
      </c>
      <c r="E696" t="s">
        <v>6</v>
      </c>
      <c r="F696" s="2">
        <f t="shared" si="54"/>
        <v>17.58184</v>
      </c>
      <c r="G696" s="2">
        <v>2.69</v>
      </c>
    </row>
    <row r="697" spans="1:14" hidden="1" x14ac:dyDescent="0.25">
      <c r="A697" t="s">
        <v>72</v>
      </c>
      <c r="B697" t="s">
        <v>73</v>
      </c>
      <c r="C697" s="2">
        <v>65.36</v>
      </c>
      <c r="D697" s="1">
        <v>653.6</v>
      </c>
      <c r="E697" t="s">
        <v>13</v>
      </c>
      <c r="F697" s="2">
        <f t="shared" si="54"/>
        <v>15.621040000000001</v>
      </c>
      <c r="G697" s="2">
        <v>2.39</v>
      </c>
    </row>
    <row r="698" spans="1:14" hidden="1" x14ac:dyDescent="0.25">
      <c r="A698" t="s">
        <v>72</v>
      </c>
      <c r="B698" t="s">
        <v>73</v>
      </c>
      <c r="C698" s="2">
        <v>65.36</v>
      </c>
      <c r="D698" s="1">
        <v>653.6</v>
      </c>
      <c r="E698" t="s">
        <v>137</v>
      </c>
      <c r="F698" s="2">
        <f t="shared" si="54"/>
        <v>12.48376</v>
      </c>
      <c r="G698" s="2">
        <v>1.91</v>
      </c>
    </row>
    <row r="699" spans="1:14" hidden="1" x14ac:dyDescent="0.25">
      <c r="A699" t="s">
        <v>72</v>
      </c>
      <c r="B699" t="s">
        <v>73</v>
      </c>
      <c r="C699" s="2">
        <v>65.36</v>
      </c>
      <c r="D699" s="1">
        <v>653.6</v>
      </c>
      <c r="E699" t="s">
        <v>5</v>
      </c>
      <c r="F699" s="2">
        <f t="shared" si="54"/>
        <v>12.222320000000002</v>
      </c>
      <c r="G699" s="2">
        <v>1.87</v>
      </c>
    </row>
    <row r="700" spans="1:14" hidden="1" x14ac:dyDescent="0.25">
      <c r="A700" t="s">
        <v>72</v>
      </c>
      <c r="B700" t="s">
        <v>73</v>
      </c>
      <c r="C700" s="2">
        <v>65.36</v>
      </c>
      <c r="D700" s="1">
        <v>653.6</v>
      </c>
      <c r="E700" t="s">
        <v>116</v>
      </c>
      <c r="F700" s="2">
        <f t="shared" si="54"/>
        <v>11.634080000000001</v>
      </c>
      <c r="G700" s="2">
        <v>1.78</v>
      </c>
    </row>
    <row r="701" spans="1:14" hidden="1" x14ac:dyDescent="0.25">
      <c r="A701" t="s">
        <v>72</v>
      </c>
      <c r="B701" t="s">
        <v>73</v>
      </c>
      <c r="C701" s="2">
        <v>65.36</v>
      </c>
      <c r="D701" s="1">
        <v>653.6</v>
      </c>
      <c r="E701" t="s">
        <v>149</v>
      </c>
      <c r="F701" s="2">
        <f t="shared" si="54"/>
        <v>10.91512</v>
      </c>
      <c r="G701" s="2">
        <v>1.67</v>
      </c>
    </row>
    <row r="702" spans="1:14" hidden="1" x14ac:dyDescent="0.25">
      <c r="A702" t="s">
        <v>72</v>
      </c>
      <c r="B702" t="s">
        <v>73</v>
      </c>
      <c r="C702" s="2">
        <v>65.36</v>
      </c>
      <c r="D702" s="1">
        <v>653.6</v>
      </c>
      <c r="E702" s="4" t="s">
        <v>117</v>
      </c>
    </row>
    <row r="703" spans="1:14" hidden="1" x14ac:dyDescent="0.25">
      <c r="A703" t="s">
        <v>72</v>
      </c>
      <c r="B703" t="s">
        <v>73</v>
      </c>
      <c r="C703" s="2">
        <v>65.36</v>
      </c>
      <c r="D703" s="1">
        <v>653.6</v>
      </c>
      <c r="E703" s="2" t="s">
        <v>123</v>
      </c>
      <c r="F703" s="2">
        <f t="shared" ref="F703:F712" si="55">(D703*G703)/100</f>
        <v>53.137679999999989</v>
      </c>
      <c r="G703" s="2">
        <v>8.129999999999999</v>
      </c>
    </row>
    <row r="704" spans="1:14" hidden="1" x14ac:dyDescent="0.25">
      <c r="A704" t="s">
        <v>72</v>
      </c>
      <c r="B704" t="s">
        <v>73</v>
      </c>
      <c r="C704" s="2">
        <v>65.36</v>
      </c>
      <c r="D704" s="1">
        <v>653.6</v>
      </c>
      <c r="E704" s="2" t="s">
        <v>156</v>
      </c>
      <c r="F704" s="2">
        <f t="shared" si="55"/>
        <v>25.490400000000001</v>
      </c>
      <c r="G704" s="2">
        <v>3.9</v>
      </c>
    </row>
    <row r="705" spans="1:14" hidden="1" x14ac:dyDescent="0.25">
      <c r="A705" t="s">
        <v>72</v>
      </c>
      <c r="B705" t="s">
        <v>73</v>
      </c>
      <c r="C705" s="2">
        <v>65.36</v>
      </c>
      <c r="D705" s="1">
        <v>653.6</v>
      </c>
      <c r="E705" s="2" t="s">
        <v>140</v>
      </c>
      <c r="F705" s="2">
        <f t="shared" si="55"/>
        <v>22.157040000000002</v>
      </c>
      <c r="G705" s="2">
        <v>3.39</v>
      </c>
    </row>
    <row r="706" spans="1:14" hidden="1" x14ac:dyDescent="0.25">
      <c r="A706" t="s">
        <v>72</v>
      </c>
      <c r="B706" t="s">
        <v>73</v>
      </c>
      <c r="C706" s="2">
        <v>65.36</v>
      </c>
      <c r="D706" s="1">
        <v>653.6</v>
      </c>
      <c r="E706" s="2" t="s">
        <v>118</v>
      </c>
      <c r="F706" s="2">
        <f t="shared" si="55"/>
        <v>19.281199999999998</v>
      </c>
      <c r="G706" s="2">
        <v>2.9499999999999997</v>
      </c>
    </row>
    <row r="707" spans="1:14" hidden="1" x14ac:dyDescent="0.25">
      <c r="A707" t="s">
        <v>72</v>
      </c>
      <c r="B707" t="s">
        <v>73</v>
      </c>
      <c r="C707" s="2">
        <v>65.36</v>
      </c>
      <c r="D707" s="1">
        <v>653.6</v>
      </c>
      <c r="E707" s="2" t="s">
        <v>120</v>
      </c>
      <c r="F707" s="2">
        <f t="shared" si="55"/>
        <v>15.09816</v>
      </c>
      <c r="G707" s="2">
        <v>2.31</v>
      </c>
    </row>
    <row r="708" spans="1:14" hidden="1" x14ac:dyDescent="0.25">
      <c r="A708" t="s">
        <v>72</v>
      </c>
      <c r="B708" t="s">
        <v>73</v>
      </c>
      <c r="C708" s="2">
        <v>65.36</v>
      </c>
      <c r="D708" s="1">
        <v>653.6</v>
      </c>
      <c r="E708" s="2" t="s">
        <v>168</v>
      </c>
      <c r="F708" s="2">
        <f t="shared" si="55"/>
        <v>10.065440000000001</v>
      </c>
      <c r="G708" s="2">
        <v>1.54</v>
      </c>
    </row>
    <row r="709" spans="1:14" hidden="1" x14ac:dyDescent="0.25">
      <c r="A709" t="s">
        <v>72</v>
      </c>
      <c r="B709" t="s">
        <v>73</v>
      </c>
      <c r="C709" s="2">
        <v>65.36</v>
      </c>
      <c r="D709" s="1">
        <v>653.6</v>
      </c>
      <c r="E709" s="2" t="s">
        <v>125</v>
      </c>
      <c r="F709" s="2">
        <f t="shared" si="55"/>
        <v>9.9347200000000004</v>
      </c>
      <c r="G709" s="2">
        <v>1.52</v>
      </c>
    </row>
    <row r="710" spans="1:14" hidden="1" x14ac:dyDescent="0.25">
      <c r="A710" t="s">
        <v>72</v>
      </c>
      <c r="B710" t="s">
        <v>73</v>
      </c>
      <c r="C710" s="2">
        <v>65.36</v>
      </c>
      <c r="D710" s="1">
        <v>653.6</v>
      </c>
      <c r="E710" s="2" t="s">
        <v>124</v>
      </c>
      <c r="F710" s="2">
        <f t="shared" si="55"/>
        <v>5.555600000000001</v>
      </c>
      <c r="G710" s="2">
        <v>0.85000000000000009</v>
      </c>
    </row>
    <row r="711" spans="1:14" hidden="1" x14ac:dyDescent="0.25">
      <c r="A711" t="s">
        <v>72</v>
      </c>
      <c r="B711" t="s">
        <v>73</v>
      </c>
      <c r="C711" s="2">
        <v>65.36</v>
      </c>
      <c r="D711" s="1">
        <v>653.6</v>
      </c>
      <c r="E711" s="2" t="s">
        <v>196</v>
      </c>
      <c r="F711" s="2">
        <f t="shared" si="55"/>
        <v>5.0327200000000003</v>
      </c>
      <c r="G711" s="2">
        <v>0.77</v>
      </c>
    </row>
    <row r="712" spans="1:14" hidden="1" x14ac:dyDescent="0.25">
      <c r="A712" t="s">
        <v>72</v>
      </c>
      <c r="B712" t="s">
        <v>73</v>
      </c>
      <c r="C712" s="2">
        <v>65.36</v>
      </c>
      <c r="D712" s="1">
        <v>653.6</v>
      </c>
      <c r="E712" s="2" t="s">
        <v>274</v>
      </c>
      <c r="F712" s="2">
        <f t="shared" si="55"/>
        <v>4.1830400000000001</v>
      </c>
      <c r="G712" s="2">
        <v>0.64</v>
      </c>
      <c r="N712" s="2"/>
    </row>
    <row r="713" spans="1:14" hidden="1" x14ac:dyDescent="0.25">
      <c r="A713" t="s">
        <v>72</v>
      </c>
      <c r="B713" t="s">
        <v>73</v>
      </c>
      <c r="C713" s="2">
        <v>65.36</v>
      </c>
      <c r="D713" s="1">
        <v>653.6</v>
      </c>
      <c r="E713" s="4" t="s">
        <v>126</v>
      </c>
    </row>
    <row r="714" spans="1:14" hidden="1" x14ac:dyDescent="0.25">
      <c r="A714" t="s">
        <v>72</v>
      </c>
      <c r="B714" t="s">
        <v>73</v>
      </c>
      <c r="C714" s="2">
        <v>65.36</v>
      </c>
      <c r="D714" s="1">
        <v>653.6</v>
      </c>
      <c r="E714" s="2" t="s">
        <v>282</v>
      </c>
      <c r="F714" s="2">
        <f t="shared" ref="F714:F724" si="56">(D714*G714)/100</f>
        <v>25.94792</v>
      </c>
      <c r="G714" s="2">
        <v>3.9699999999999998</v>
      </c>
    </row>
    <row r="715" spans="1:14" hidden="1" x14ac:dyDescent="0.25">
      <c r="A715" t="s">
        <v>72</v>
      </c>
      <c r="B715" t="s">
        <v>73</v>
      </c>
      <c r="C715" s="2">
        <v>65.36</v>
      </c>
      <c r="D715" s="1">
        <v>653.6</v>
      </c>
      <c r="E715" s="2" t="s">
        <v>128</v>
      </c>
      <c r="F715" s="2">
        <f t="shared" si="56"/>
        <v>24.444640000000003</v>
      </c>
      <c r="G715" s="2">
        <v>3.74</v>
      </c>
    </row>
    <row r="716" spans="1:14" hidden="1" x14ac:dyDescent="0.25">
      <c r="A716" t="s">
        <v>72</v>
      </c>
      <c r="B716" t="s">
        <v>73</v>
      </c>
      <c r="C716" s="2">
        <v>65.36</v>
      </c>
      <c r="D716" s="1">
        <v>653.6</v>
      </c>
      <c r="E716" s="2" t="s">
        <v>133</v>
      </c>
      <c r="F716" s="2">
        <f t="shared" si="56"/>
        <v>19.869440000000001</v>
      </c>
      <c r="G716" s="2">
        <v>3.04</v>
      </c>
    </row>
    <row r="717" spans="1:14" hidden="1" x14ac:dyDescent="0.25">
      <c r="A717" t="s">
        <v>72</v>
      </c>
      <c r="B717" t="s">
        <v>73</v>
      </c>
      <c r="C717" s="2">
        <v>65.36</v>
      </c>
      <c r="D717" s="1">
        <v>653.6</v>
      </c>
      <c r="E717" s="2" t="s">
        <v>283</v>
      </c>
      <c r="F717" s="2">
        <f t="shared" si="56"/>
        <v>19.738720000000001</v>
      </c>
      <c r="G717" s="2">
        <v>3.02</v>
      </c>
    </row>
    <row r="718" spans="1:14" hidden="1" x14ac:dyDescent="0.25">
      <c r="A718" t="s">
        <v>72</v>
      </c>
      <c r="B718" t="s">
        <v>73</v>
      </c>
      <c r="C718" s="2">
        <v>65.36</v>
      </c>
      <c r="D718" s="1">
        <v>653.6</v>
      </c>
      <c r="E718" s="2" t="s">
        <v>185</v>
      </c>
      <c r="F718" s="2">
        <f t="shared" si="56"/>
        <v>16.993600000000001</v>
      </c>
      <c r="G718" s="2">
        <v>2.6</v>
      </c>
    </row>
    <row r="719" spans="1:14" hidden="1" x14ac:dyDescent="0.25">
      <c r="A719" t="s">
        <v>72</v>
      </c>
      <c r="B719" t="s">
        <v>73</v>
      </c>
      <c r="C719" s="2">
        <v>65.36</v>
      </c>
      <c r="D719" s="1">
        <v>653.6</v>
      </c>
      <c r="E719" s="2" t="s">
        <v>164</v>
      </c>
      <c r="F719" s="2">
        <f t="shared" si="56"/>
        <v>12.222320000000002</v>
      </c>
      <c r="G719" s="2">
        <v>1.87</v>
      </c>
    </row>
    <row r="720" spans="1:14" hidden="1" x14ac:dyDescent="0.25">
      <c r="A720" t="s">
        <v>72</v>
      </c>
      <c r="B720" t="s">
        <v>73</v>
      </c>
      <c r="C720" s="2">
        <v>65.36</v>
      </c>
      <c r="D720" s="1">
        <v>653.6</v>
      </c>
      <c r="E720" s="2" t="s">
        <v>145</v>
      </c>
      <c r="F720" s="2">
        <f t="shared" si="56"/>
        <v>9.9347200000000004</v>
      </c>
      <c r="G720" s="2">
        <v>1.52</v>
      </c>
    </row>
    <row r="721" spans="1:14" hidden="1" x14ac:dyDescent="0.25">
      <c r="A721" t="s">
        <v>72</v>
      </c>
      <c r="B721" t="s">
        <v>73</v>
      </c>
      <c r="C721" s="2">
        <v>65.36</v>
      </c>
      <c r="D721" s="1">
        <v>653.6</v>
      </c>
      <c r="E721" s="2" t="s">
        <v>132</v>
      </c>
      <c r="F721" s="2">
        <f t="shared" si="56"/>
        <v>5.0980799999999995</v>
      </c>
      <c r="G721" s="2">
        <v>0.77999999999999992</v>
      </c>
    </row>
    <row r="722" spans="1:14" hidden="1" x14ac:dyDescent="0.25">
      <c r="A722" t="s">
        <v>72</v>
      </c>
      <c r="B722" t="s">
        <v>73</v>
      </c>
      <c r="C722" s="2">
        <v>65.36</v>
      </c>
      <c r="D722" s="1">
        <v>653.6</v>
      </c>
      <c r="E722" s="2" t="s">
        <v>284</v>
      </c>
      <c r="F722" s="2">
        <f t="shared" si="56"/>
        <v>4.2484000000000002</v>
      </c>
      <c r="G722" s="2">
        <v>0.65</v>
      </c>
    </row>
    <row r="723" spans="1:14" hidden="1" x14ac:dyDescent="0.25">
      <c r="A723" t="s">
        <v>72</v>
      </c>
      <c r="B723" t="s">
        <v>73</v>
      </c>
      <c r="C723" s="2">
        <v>65.36</v>
      </c>
      <c r="D723" s="1">
        <v>653.6</v>
      </c>
      <c r="E723" s="2" t="s">
        <v>172</v>
      </c>
      <c r="F723" s="2">
        <f t="shared" si="56"/>
        <v>4.0523199999999999</v>
      </c>
      <c r="G723" s="2">
        <v>0.62</v>
      </c>
      <c r="N723" s="2"/>
    </row>
    <row r="724" spans="1:14" hidden="1" x14ac:dyDescent="0.25">
      <c r="A724" t="s">
        <v>72</v>
      </c>
      <c r="B724" t="s">
        <v>73</v>
      </c>
      <c r="C724" s="2">
        <v>65.36</v>
      </c>
      <c r="D724" s="1">
        <v>653.6</v>
      </c>
      <c r="E724" s="4" t="s">
        <v>96</v>
      </c>
      <c r="F724" s="2">
        <f t="shared" si="56"/>
        <v>16.274639999999998</v>
      </c>
      <c r="G724" s="2">
        <v>2.4899999999999998</v>
      </c>
    </row>
    <row r="725" spans="1:14" x14ac:dyDescent="0.25">
      <c r="A725" t="str">
        <f>A724</f>
        <v>GR GRATUITY GROWTH FUND</v>
      </c>
      <c r="B725" t="s">
        <v>73</v>
      </c>
      <c r="C725" s="2">
        <v>65.36</v>
      </c>
      <c r="D725" s="1">
        <v>653.6</v>
      </c>
      <c r="E725" s="4" t="s">
        <v>8</v>
      </c>
      <c r="F725" s="2">
        <f ca="1">SUMIF(A:A,M725,F:F)</f>
        <v>516.27864000000011</v>
      </c>
      <c r="G725" s="2">
        <f ca="1">SUMIF(A:A,M725,G:G)</f>
        <v>78.990000000000023</v>
      </c>
      <c r="I725" s="2">
        <f ca="1">(D725*J725)/100</f>
        <v>137.32135999999986</v>
      </c>
      <c r="J725" s="2">
        <f ca="1">100-G725</f>
        <v>21.009999999999977</v>
      </c>
      <c r="K725" s="2">
        <f>D725/1000</f>
        <v>0.65360000000000007</v>
      </c>
      <c r="M725" t="str">
        <f>A724</f>
        <v>GR GRATUITY GROWTH FUND</v>
      </c>
    </row>
    <row r="726" spans="1:14" hidden="1" x14ac:dyDescent="0.25">
      <c r="C726" s="2"/>
      <c r="D726" s="1"/>
      <c r="N726" s="2"/>
    </row>
    <row r="727" spans="1:14" hidden="1" x14ac:dyDescent="0.25">
      <c r="A727" t="s">
        <v>74</v>
      </c>
      <c r="B727" t="s">
        <v>75</v>
      </c>
      <c r="C727" s="2">
        <v>113.78</v>
      </c>
      <c r="D727" s="1">
        <v>1137.8</v>
      </c>
      <c r="E727" s="4" t="s">
        <v>93</v>
      </c>
    </row>
    <row r="728" spans="1:14" hidden="1" x14ac:dyDescent="0.25">
      <c r="A728" t="s">
        <v>74</v>
      </c>
      <c r="B728" t="s">
        <v>75</v>
      </c>
      <c r="C728" s="2">
        <v>113.78</v>
      </c>
      <c r="D728" s="1">
        <v>1137.8</v>
      </c>
      <c r="E728" t="s">
        <v>2</v>
      </c>
      <c r="F728" s="2">
        <f t="shared" ref="F728:F737" si="57">(D728*G728)/100</f>
        <v>29.469019999999997</v>
      </c>
      <c r="G728" s="2">
        <v>2.59</v>
      </c>
    </row>
    <row r="729" spans="1:14" hidden="1" x14ac:dyDescent="0.25">
      <c r="A729" t="s">
        <v>74</v>
      </c>
      <c r="B729" t="s">
        <v>75</v>
      </c>
      <c r="C729" s="2">
        <v>113.78</v>
      </c>
      <c r="D729" s="1">
        <v>1137.8</v>
      </c>
      <c r="E729" t="s">
        <v>4</v>
      </c>
      <c r="F729" s="2">
        <f t="shared" si="57"/>
        <v>27.079640000000005</v>
      </c>
      <c r="G729" s="2">
        <v>2.3800000000000003</v>
      </c>
    </row>
    <row r="730" spans="1:14" hidden="1" x14ac:dyDescent="0.25">
      <c r="A730" t="s">
        <v>74</v>
      </c>
      <c r="B730" t="s">
        <v>75</v>
      </c>
      <c r="C730" s="2">
        <v>113.78</v>
      </c>
      <c r="D730" s="1">
        <v>1137.8</v>
      </c>
      <c r="E730" t="s">
        <v>3</v>
      </c>
      <c r="F730" s="2">
        <f t="shared" si="57"/>
        <v>17.294560000000001</v>
      </c>
      <c r="G730" s="2">
        <v>1.52</v>
      </c>
    </row>
    <row r="731" spans="1:14" hidden="1" x14ac:dyDescent="0.25">
      <c r="A731" t="s">
        <v>74</v>
      </c>
      <c r="B731" t="s">
        <v>75</v>
      </c>
      <c r="C731" s="2">
        <v>113.78</v>
      </c>
      <c r="D731" s="1">
        <v>1137.8</v>
      </c>
      <c r="E731" t="s">
        <v>7</v>
      </c>
      <c r="F731" s="2">
        <f t="shared" si="57"/>
        <v>15.587860000000001</v>
      </c>
      <c r="G731" s="2">
        <v>1.37</v>
      </c>
    </row>
    <row r="732" spans="1:14" hidden="1" x14ac:dyDescent="0.25">
      <c r="A732" t="s">
        <v>74</v>
      </c>
      <c r="B732" t="s">
        <v>75</v>
      </c>
      <c r="C732" s="2">
        <v>113.78</v>
      </c>
      <c r="D732" s="1">
        <v>1137.8</v>
      </c>
      <c r="E732" t="s">
        <v>5</v>
      </c>
      <c r="F732" s="2">
        <f t="shared" si="57"/>
        <v>13.084699999999998</v>
      </c>
      <c r="G732" s="2">
        <v>1.1499999999999999</v>
      </c>
    </row>
    <row r="733" spans="1:14" hidden="1" x14ac:dyDescent="0.25">
      <c r="A733" t="s">
        <v>74</v>
      </c>
      <c r="B733" t="s">
        <v>75</v>
      </c>
      <c r="C733" s="2">
        <v>113.78</v>
      </c>
      <c r="D733" s="1">
        <v>1137.8</v>
      </c>
      <c r="E733" t="s">
        <v>6</v>
      </c>
      <c r="F733" s="2">
        <f t="shared" si="57"/>
        <v>12.970920000000001</v>
      </c>
      <c r="G733" s="2">
        <v>1.1400000000000001</v>
      </c>
    </row>
    <row r="734" spans="1:14" hidden="1" x14ac:dyDescent="0.25">
      <c r="A734" t="s">
        <v>74</v>
      </c>
      <c r="B734" t="s">
        <v>75</v>
      </c>
      <c r="C734" s="2">
        <v>113.78</v>
      </c>
      <c r="D734" s="1">
        <v>1137.8</v>
      </c>
      <c r="E734" t="s">
        <v>137</v>
      </c>
      <c r="F734" s="2">
        <f t="shared" si="57"/>
        <v>11.833119999999999</v>
      </c>
      <c r="G734" s="2">
        <v>1.04</v>
      </c>
    </row>
    <row r="735" spans="1:14" hidden="1" x14ac:dyDescent="0.25">
      <c r="A735" t="s">
        <v>74</v>
      </c>
      <c r="B735" t="s">
        <v>75</v>
      </c>
      <c r="C735" s="2">
        <v>113.78</v>
      </c>
      <c r="D735" s="1">
        <v>1137.8</v>
      </c>
      <c r="E735" t="s">
        <v>116</v>
      </c>
      <c r="F735" s="2">
        <f t="shared" si="57"/>
        <v>10.012639999999999</v>
      </c>
      <c r="G735" s="2">
        <v>0.88</v>
      </c>
    </row>
    <row r="736" spans="1:14" hidden="1" x14ac:dyDescent="0.25">
      <c r="A736" t="s">
        <v>74</v>
      </c>
      <c r="B736" t="s">
        <v>75</v>
      </c>
      <c r="C736" s="2">
        <v>113.78</v>
      </c>
      <c r="D736" s="1">
        <v>1137.8</v>
      </c>
      <c r="E736" t="s">
        <v>13</v>
      </c>
      <c r="F736" s="2">
        <f t="shared" si="57"/>
        <v>9.6713000000000005</v>
      </c>
      <c r="G736" s="2">
        <v>0.85000000000000009</v>
      </c>
    </row>
    <row r="737" spans="1:14" hidden="1" x14ac:dyDescent="0.25">
      <c r="A737" t="s">
        <v>74</v>
      </c>
      <c r="B737" t="s">
        <v>75</v>
      </c>
      <c r="C737" s="2">
        <v>113.78</v>
      </c>
      <c r="D737" s="1">
        <v>1137.8</v>
      </c>
      <c r="E737" t="s">
        <v>149</v>
      </c>
      <c r="F737" s="2">
        <f t="shared" si="57"/>
        <v>9.4437399999999982</v>
      </c>
      <c r="G737" s="2">
        <v>0.83</v>
      </c>
    </row>
    <row r="738" spans="1:14" hidden="1" x14ac:dyDescent="0.25">
      <c r="A738" t="s">
        <v>74</v>
      </c>
      <c r="B738" t="s">
        <v>75</v>
      </c>
      <c r="C738" s="2">
        <v>113.78</v>
      </c>
      <c r="D738" s="1">
        <v>1137.8</v>
      </c>
      <c r="E738" s="4" t="s">
        <v>117</v>
      </c>
    </row>
    <row r="739" spans="1:14" hidden="1" x14ac:dyDescent="0.25">
      <c r="A739" t="s">
        <v>74</v>
      </c>
      <c r="B739" t="s">
        <v>75</v>
      </c>
      <c r="C739" s="2">
        <v>113.78</v>
      </c>
      <c r="D739" s="1">
        <v>1137.8</v>
      </c>
      <c r="E739" s="2" t="s">
        <v>156</v>
      </c>
      <c r="F739" s="2">
        <f t="shared" ref="F739:F748" si="58">(D739*G739)/100</f>
        <v>139.15294</v>
      </c>
      <c r="G739" s="2">
        <v>12.23</v>
      </c>
    </row>
    <row r="740" spans="1:14" hidden="1" x14ac:dyDescent="0.25">
      <c r="A740" t="s">
        <v>74</v>
      </c>
      <c r="B740" t="s">
        <v>75</v>
      </c>
      <c r="C740" s="2">
        <v>113.78</v>
      </c>
      <c r="D740" s="1">
        <v>1137.8</v>
      </c>
      <c r="E740" s="2" t="s">
        <v>123</v>
      </c>
      <c r="F740" s="2">
        <f t="shared" si="58"/>
        <v>102.17443999999999</v>
      </c>
      <c r="G740" s="2">
        <v>8.98</v>
      </c>
    </row>
    <row r="741" spans="1:14" hidden="1" x14ac:dyDescent="0.25">
      <c r="A741" t="s">
        <v>74</v>
      </c>
      <c r="B741" t="s">
        <v>75</v>
      </c>
      <c r="C741" s="2">
        <v>113.78</v>
      </c>
      <c r="D741" s="1">
        <v>1137.8</v>
      </c>
      <c r="E741" s="2" t="s">
        <v>118</v>
      </c>
      <c r="F741" s="2">
        <f t="shared" si="58"/>
        <v>89.544860000000014</v>
      </c>
      <c r="G741" s="2">
        <v>7.870000000000001</v>
      </c>
    </row>
    <row r="742" spans="1:14" hidden="1" x14ac:dyDescent="0.25">
      <c r="A742" t="s">
        <v>74</v>
      </c>
      <c r="B742" t="s">
        <v>75</v>
      </c>
      <c r="C742" s="2">
        <v>113.78</v>
      </c>
      <c r="D742" s="1">
        <v>1137.8</v>
      </c>
      <c r="E742" s="2" t="s">
        <v>121</v>
      </c>
      <c r="F742" s="2">
        <f t="shared" si="58"/>
        <v>75.549919999999986</v>
      </c>
      <c r="G742" s="2">
        <v>6.64</v>
      </c>
    </row>
    <row r="743" spans="1:14" hidden="1" x14ac:dyDescent="0.25">
      <c r="A743" t="s">
        <v>74</v>
      </c>
      <c r="B743" t="s">
        <v>75</v>
      </c>
      <c r="C743" s="2">
        <v>113.78</v>
      </c>
      <c r="D743" s="1">
        <v>1137.8</v>
      </c>
      <c r="E743" s="2" t="s">
        <v>262</v>
      </c>
      <c r="F743" s="2">
        <f t="shared" si="58"/>
        <v>27.079640000000005</v>
      </c>
      <c r="G743" s="2">
        <v>2.3800000000000003</v>
      </c>
    </row>
    <row r="744" spans="1:14" hidden="1" x14ac:dyDescent="0.25">
      <c r="A744" t="s">
        <v>74</v>
      </c>
      <c r="B744" t="s">
        <v>75</v>
      </c>
      <c r="C744" s="2">
        <v>113.78</v>
      </c>
      <c r="D744" s="1">
        <v>1137.8</v>
      </c>
      <c r="E744" s="2" t="s">
        <v>140</v>
      </c>
      <c r="F744" s="2">
        <f t="shared" si="58"/>
        <v>25.486719999999995</v>
      </c>
      <c r="G744" s="2">
        <v>2.2399999999999998</v>
      </c>
    </row>
    <row r="745" spans="1:14" hidden="1" x14ac:dyDescent="0.25">
      <c r="A745" t="s">
        <v>74</v>
      </c>
      <c r="B745" t="s">
        <v>75</v>
      </c>
      <c r="C745" s="2">
        <v>113.78</v>
      </c>
      <c r="D745" s="1">
        <v>1137.8</v>
      </c>
      <c r="E745" s="2" t="s">
        <v>120</v>
      </c>
      <c r="F745" s="2">
        <f t="shared" si="58"/>
        <v>23.78002</v>
      </c>
      <c r="G745" s="2">
        <v>2.09</v>
      </c>
    </row>
    <row r="746" spans="1:14" hidden="1" x14ac:dyDescent="0.25">
      <c r="A746" t="s">
        <v>74</v>
      </c>
      <c r="B746" t="s">
        <v>75</v>
      </c>
      <c r="C746" s="2">
        <v>113.78</v>
      </c>
      <c r="D746" s="1">
        <v>1137.8</v>
      </c>
      <c r="E746" s="2" t="s">
        <v>168</v>
      </c>
      <c r="F746" s="2">
        <f t="shared" si="58"/>
        <v>20.139060000000001</v>
      </c>
      <c r="G746" s="2">
        <v>1.77</v>
      </c>
    </row>
    <row r="747" spans="1:14" hidden="1" x14ac:dyDescent="0.25">
      <c r="A747" t="s">
        <v>74</v>
      </c>
      <c r="B747" t="s">
        <v>75</v>
      </c>
      <c r="C747" s="2">
        <v>113.78</v>
      </c>
      <c r="D747" s="1">
        <v>1137.8</v>
      </c>
      <c r="E747" s="2" t="s">
        <v>274</v>
      </c>
      <c r="F747" s="2">
        <f t="shared" si="58"/>
        <v>11.491779999999999</v>
      </c>
      <c r="G747" s="2">
        <v>1.01</v>
      </c>
    </row>
    <row r="748" spans="1:14" hidden="1" x14ac:dyDescent="0.25">
      <c r="A748" t="s">
        <v>74</v>
      </c>
      <c r="B748" t="s">
        <v>75</v>
      </c>
      <c r="C748" s="2">
        <v>113.78</v>
      </c>
      <c r="D748" s="1">
        <v>1137.8</v>
      </c>
      <c r="E748" s="2" t="s">
        <v>187</v>
      </c>
      <c r="F748" s="2">
        <f t="shared" si="58"/>
        <v>5.0063199999999997</v>
      </c>
      <c r="G748" s="2">
        <v>0.44</v>
      </c>
      <c r="N748" s="2"/>
    </row>
    <row r="749" spans="1:14" hidden="1" x14ac:dyDescent="0.25">
      <c r="A749" t="s">
        <v>74</v>
      </c>
      <c r="B749" t="s">
        <v>75</v>
      </c>
      <c r="C749" s="2">
        <v>113.78</v>
      </c>
      <c r="D749" s="1">
        <v>1137.8</v>
      </c>
      <c r="E749" s="4" t="s">
        <v>126</v>
      </c>
    </row>
    <row r="750" spans="1:14" hidden="1" x14ac:dyDescent="0.25">
      <c r="A750" t="s">
        <v>74</v>
      </c>
      <c r="B750" t="s">
        <v>75</v>
      </c>
      <c r="C750" s="2">
        <v>113.78</v>
      </c>
      <c r="D750" s="1">
        <v>1137.8</v>
      </c>
      <c r="E750" s="2" t="s">
        <v>133</v>
      </c>
      <c r="F750" s="2">
        <f t="shared" ref="F750:F760" si="59">(D750*G750)/100</f>
        <v>37.206060000000001</v>
      </c>
      <c r="G750" s="2">
        <v>3.27</v>
      </c>
    </row>
    <row r="751" spans="1:14" hidden="1" x14ac:dyDescent="0.25">
      <c r="A751" t="s">
        <v>74</v>
      </c>
      <c r="B751" t="s">
        <v>75</v>
      </c>
      <c r="C751" s="2">
        <v>113.78</v>
      </c>
      <c r="D751" s="1">
        <v>1137.8</v>
      </c>
      <c r="E751" s="2" t="s">
        <v>127</v>
      </c>
      <c r="F751" s="2">
        <f t="shared" si="59"/>
        <v>36.864719999999998</v>
      </c>
      <c r="G751" s="2">
        <v>3.2399999999999998</v>
      </c>
    </row>
    <row r="752" spans="1:14" hidden="1" x14ac:dyDescent="0.25">
      <c r="A752" t="s">
        <v>74</v>
      </c>
      <c r="B752" t="s">
        <v>75</v>
      </c>
      <c r="C752" s="2">
        <v>113.78</v>
      </c>
      <c r="D752" s="1">
        <v>1137.8</v>
      </c>
      <c r="E752" s="2" t="s">
        <v>285</v>
      </c>
      <c r="F752" s="2">
        <f t="shared" si="59"/>
        <v>35.044240000000002</v>
      </c>
      <c r="G752" s="2">
        <v>3.08</v>
      </c>
    </row>
    <row r="753" spans="1:14" hidden="1" x14ac:dyDescent="0.25">
      <c r="A753" t="s">
        <v>74</v>
      </c>
      <c r="B753" t="s">
        <v>75</v>
      </c>
      <c r="C753" s="2">
        <v>113.78</v>
      </c>
      <c r="D753" s="1">
        <v>1137.8</v>
      </c>
      <c r="E753" s="2" t="s">
        <v>286</v>
      </c>
      <c r="F753" s="2">
        <f t="shared" si="59"/>
        <v>35.044240000000002</v>
      </c>
      <c r="G753" s="2">
        <v>3.08</v>
      </c>
    </row>
    <row r="754" spans="1:14" hidden="1" x14ac:dyDescent="0.25">
      <c r="A754" t="s">
        <v>74</v>
      </c>
      <c r="B754" t="s">
        <v>75</v>
      </c>
      <c r="C754" s="2">
        <v>113.78</v>
      </c>
      <c r="D754" s="1">
        <v>1137.8</v>
      </c>
      <c r="E754" s="2" t="s">
        <v>287</v>
      </c>
      <c r="F754" s="2">
        <f t="shared" si="59"/>
        <v>25.031599999999994</v>
      </c>
      <c r="G754" s="2">
        <v>2.1999999999999997</v>
      </c>
    </row>
    <row r="755" spans="1:14" hidden="1" x14ac:dyDescent="0.25">
      <c r="A755" t="s">
        <v>74</v>
      </c>
      <c r="B755" t="s">
        <v>75</v>
      </c>
      <c r="C755" s="2">
        <v>113.78</v>
      </c>
      <c r="D755" s="1">
        <v>1137.8</v>
      </c>
      <c r="E755" s="2" t="s">
        <v>132</v>
      </c>
      <c r="F755" s="2">
        <f t="shared" si="59"/>
        <v>20.252839999999999</v>
      </c>
      <c r="G755" s="2">
        <v>1.78</v>
      </c>
    </row>
    <row r="756" spans="1:14" hidden="1" x14ac:dyDescent="0.25">
      <c r="A756" t="s">
        <v>74</v>
      </c>
      <c r="B756" t="s">
        <v>75</v>
      </c>
      <c r="C756" s="2">
        <v>113.78</v>
      </c>
      <c r="D756" s="1">
        <v>1137.8</v>
      </c>
      <c r="E756" s="2" t="s">
        <v>185</v>
      </c>
      <c r="F756" s="2">
        <f t="shared" si="59"/>
        <v>20.025279999999999</v>
      </c>
      <c r="G756" s="2">
        <v>1.76</v>
      </c>
    </row>
    <row r="757" spans="1:14" hidden="1" x14ac:dyDescent="0.25">
      <c r="A757" t="s">
        <v>74</v>
      </c>
      <c r="B757" t="s">
        <v>75</v>
      </c>
      <c r="C757" s="2">
        <v>113.78</v>
      </c>
      <c r="D757" s="1">
        <v>1137.8</v>
      </c>
      <c r="E757" s="2" t="s">
        <v>200</v>
      </c>
      <c r="F757" s="2">
        <f t="shared" si="59"/>
        <v>14.791400000000001</v>
      </c>
      <c r="G757" s="2">
        <v>1.3</v>
      </c>
    </row>
    <row r="758" spans="1:14" hidden="1" x14ac:dyDescent="0.25">
      <c r="A758" t="s">
        <v>74</v>
      </c>
      <c r="B758" t="s">
        <v>75</v>
      </c>
      <c r="C758" s="2">
        <v>113.78</v>
      </c>
      <c r="D758" s="1">
        <v>1137.8</v>
      </c>
      <c r="E758" s="2" t="s">
        <v>128</v>
      </c>
      <c r="F758" s="2">
        <f t="shared" si="59"/>
        <v>14.677619999999999</v>
      </c>
      <c r="G758" s="2">
        <v>1.29</v>
      </c>
    </row>
    <row r="759" spans="1:14" hidden="1" x14ac:dyDescent="0.25">
      <c r="A759" t="s">
        <v>74</v>
      </c>
      <c r="B759" t="s">
        <v>75</v>
      </c>
      <c r="C759" s="2">
        <v>113.78</v>
      </c>
      <c r="D759" s="1">
        <v>1137.8</v>
      </c>
      <c r="E759" s="2" t="s">
        <v>172</v>
      </c>
      <c r="F759" s="2">
        <f t="shared" si="59"/>
        <v>11.150439999999998</v>
      </c>
      <c r="G759" s="2">
        <v>0.98</v>
      </c>
      <c r="N759" s="2"/>
    </row>
    <row r="760" spans="1:14" hidden="1" x14ac:dyDescent="0.25">
      <c r="A760" t="s">
        <v>74</v>
      </c>
      <c r="B760" t="s">
        <v>75</v>
      </c>
      <c r="C760" s="2">
        <v>113.78</v>
      </c>
      <c r="D760" s="1">
        <v>1137.8</v>
      </c>
      <c r="E760" s="4" t="s">
        <v>96</v>
      </c>
      <c r="F760" s="2">
        <f t="shared" si="59"/>
        <v>63.375460000000004</v>
      </c>
      <c r="G760" s="2">
        <v>5.57</v>
      </c>
    </row>
    <row r="761" spans="1:14" x14ac:dyDescent="0.25">
      <c r="A761" t="str">
        <f>A760</f>
        <v>GR GRATUITY BALANCED FUND</v>
      </c>
      <c r="B761" t="s">
        <v>75</v>
      </c>
      <c r="C761" s="2">
        <v>113.78</v>
      </c>
      <c r="D761" s="1">
        <v>1137.8</v>
      </c>
      <c r="E761" s="4" t="s">
        <v>8</v>
      </c>
      <c r="F761" s="2">
        <f ca="1">SUMIF(A:A,M761,F:F)</f>
        <v>989.31709999999987</v>
      </c>
      <c r="G761" s="2">
        <f ca="1">SUMIF(A:A,M761,G:G)</f>
        <v>86.950000000000045</v>
      </c>
      <c r="I761" s="2">
        <f ca="1">(D761*J761)/100</f>
        <v>148.48289999999949</v>
      </c>
      <c r="J761" s="2">
        <f ca="1">100-G761</f>
        <v>13.049999999999955</v>
      </c>
      <c r="K761" s="2">
        <f>D761/1000</f>
        <v>1.1377999999999999</v>
      </c>
      <c r="M761" t="str">
        <f>A760</f>
        <v>GR GRATUITY BALANCED FUND</v>
      </c>
    </row>
    <row r="762" spans="1:14" hidden="1" x14ac:dyDescent="0.25">
      <c r="C762" s="2"/>
      <c r="D762" s="1"/>
      <c r="N762" s="2"/>
    </row>
    <row r="763" spans="1:14" hidden="1" x14ac:dyDescent="0.25">
      <c r="A763" t="s">
        <v>76</v>
      </c>
      <c r="B763" t="s">
        <v>77</v>
      </c>
      <c r="C763" s="2">
        <v>28.2</v>
      </c>
      <c r="D763" s="1">
        <v>282</v>
      </c>
      <c r="E763" s="4" t="s">
        <v>117</v>
      </c>
    </row>
    <row r="764" spans="1:14" hidden="1" x14ac:dyDescent="0.25">
      <c r="A764" t="s">
        <v>76</v>
      </c>
      <c r="B764" t="s">
        <v>77</v>
      </c>
      <c r="C764" s="2">
        <v>28.2</v>
      </c>
      <c r="D764" s="1">
        <v>282</v>
      </c>
      <c r="E764" s="2" t="s">
        <v>123</v>
      </c>
      <c r="F764" s="2">
        <f t="shared" ref="F764:F773" si="60">(D764*G764)/100</f>
        <v>69.061800000000005</v>
      </c>
      <c r="G764" s="2">
        <v>24.490000000000002</v>
      </c>
    </row>
    <row r="765" spans="1:14" hidden="1" x14ac:dyDescent="0.25">
      <c r="A765" t="s">
        <v>76</v>
      </c>
      <c r="B765" t="s">
        <v>77</v>
      </c>
      <c r="C765" s="2">
        <v>28.2</v>
      </c>
      <c r="D765" s="1">
        <v>282</v>
      </c>
      <c r="E765" s="2" t="s">
        <v>156</v>
      </c>
      <c r="F765" s="2">
        <f t="shared" si="60"/>
        <v>50.308799999999998</v>
      </c>
      <c r="G765" s="2">
        <v>17.84</v>
      </c>
    </row>
    <row r="766" spans="1:14" hidden="1" x14ac:dyDescent="0.25">
      <c r="A766" t="s">
        <v>76</v>
      </c>
      <c r="B766" t="s">
        <v>77</v>
      </c>
      <c r="C766" s="2">
        <v>28.2</v>
      </c>
      <c r="D766" s="1">
        <v>282</v>
      </c>
      <c r="E766" s="2" t="s">
        <v>140</v>
      </c>
      <c r="F766" s="2">
        <f t="shared" si="60"/>
        <v>17.4558</v>
      </c>
      <c r="G766" s="2">
        <v>6.1899999999999995</v>
      </c>
    </row>
    <row r="767" spans="1:14" hidden="1" x14ac:dyDescent="0.25">
      <c r="A767" t="s">
        <v>76</v>
      </c>
      <c r="B767" t="s">
        <v>77</v>
      </c>
      <c r="C767" s="2">
        <v>28.2</v>
      </c>
      <c r="D767" s="1">
        <v>282</v>
      </c>
      <c r="E767" s="2" t="s">
        <v>168</v>
      </c>
      <c r="F767" s="2">
        <f t="shared" si="60"/>
        <v>15.1434</v>
      </c>
      <c r="G767" s="2">
        <v>5.37</v>
      </c>
    </row>
    <row r="768" spans="1:14" hidden="1" x14ac:dyDescent="0.25">
      <c r="A768" t="s">
        <v>76</v>
      </c>
      <c r="B768" t="s">
        <v>77</v>
      </c>
      <c r="C768" s="2">
        <v>28.2</v>
      </c>
      <c r="D768" s="1">
        <v>282</v>
      </c>
      <c r="E768" s="2" t="s">
        <v>262</v>
      </c>
      <c r="F768" s="2">
        <f t="shared" si="60"/>
        <v>10.236599999999999</v>
      </c>
      <c r="G768" s="2">
        <v>3.63</v>
      </c>
    </row>
    <row r="769" spans="1:14" hidden="1" x14ac:dyDescent="0.25">
      <c r="A769" t="s">
        <v>76</v>
      </c>
      <c r="B769" t="s">
        <v>77</v>
      </c>
      <c r="C769" s="2">
        <v>28.2</v>
      </c>
      <c r="D769" s="1">
        <v>282</v>
      </c>
      <c r="E769" s="2" t="s">
        <v>121</v>
      </c>
      <c r="F769" s="2">
        <f t="shared" si="60"/>
        <v>9.447000000000001</v>
      </c>
      <c r="G769" s="2">
        <v>3.35</v>
      </c>
    </row>
    <row r="770" spans="1:14" hidden="1" x14ac:dyDescent="0.25">
      <c r="A770" t="s">
        <v>76</v>
      </c>
      <c r="B770" t="s">
        <v>77</v>
      </c>
      <c r="C770" s="2">
        <v>28.2</v>
      </c>
      <c r="D770" s="1">
        <v>282</v>
      </c>
      <c r="E770" s="2" t="s">
        <v>274</v>
      </c>
      <c r="F770" s="2">
        <f t="shared" si="60"/>
        <v>5.7810000000000006</v>
      </c>
      <c r="G770" s="2">
        <v>2.0500000000000003</v>
      </c>
    </row>
    <row r="771" spans="1:14" hidden="1" x14ac:dyDescent="0.25">
      <c r="A771" t="s">
        <v>76</v>
      </c>
      <c r="B771" t="s">
        <v>77</v>
      </c>
      <c r="C771" s="2">
        <v>28.2</v>
      </c>
      <c r="D771" s="1">
        <v>282</v>
      </c>
      <c r="E771" s="2" t="s">
        <v>141</v>
      </c>
      <c r="F771" s="2">
        <f t="shared" si="60"/>
        <v>5.6118000000000006</v>
      </c>
      <c r="G771" s="2">
        <v>1.9900000000000002</v>
      </c>
    </row>
    <row r="772" spans="1:14" hidden="1" x14ac:dyDescent="0.25">
      <c r="A772" t="s">
        <v>76</v>
      </c>
      <c r="B772" t="s">
        <v>77</v>
      </c>
      <c r="C772" s="2">
        <v>28.2</v>
      </c>
      <c r="D772" s="1">
        <v>282</v>
      </c>
      <c r="E772" s="2" t="s">
        <v>139</v>
      </c>
      <c r="F772" s="2">
        <f t="shared" si="60"/>
        <v>5.4708000000000006</v>
      </c>
      <c r="G772" s="2">
        <v>1.94</v>
      </c>
    </row>
    <row r="773" spans="1:14" hidden="1" x14ac:dyDescent="0.25">
      <c r="A773" t="s">
        <v>76</v>
      </c>
      <c r="B773" t="s">
        <v>77</v>
      </c>
      <c r="C773" s="2">
        <v>28.2</v>
      </c>
      <c r="D773" s="1">
        <v>282</v>
      </c>
      <c r="E773" s="2" t="s">
        <v>120</v>
      </c>
      <c r="F773" s="2">
        <f t="shared" si="60"/>
        <v>4.8221999999999996</v>
      </c>
      <c r="G773" s="2">
        <v>1.71</v>
      </c>
      <c r="N773" s="2"/>
    </row>
    <row r="774" spans="1:14" hidden="1" x14ac:dyDescent="0.25">
      <c r="A774" t="s">
        <v>76</v>
      </c>
      <c r="B774" t="s">
        <v>77</v>
      </c>
      <c r="C774" s="2">
        <v>28.2</v>
      </c>
      <c r="D774" s="1">
        <v>282</v>
      </c>
      <c r="E774" s="5" t="s">
        <v>126</v>
      </c>
    </row>
    <row r="775" spans="1:14" hidden="1" x14ac:dyDescent="0.25">
      <c r="A775" t="s">
        <v>76</v>
      </c>
      <c r="B775" t="s">
        <v>77</v>
      </c>
      <c r="C775" s="2">
        <v>28.2</v>
      </c>
      <c r="D775" s="1">
        <v>282</v>
      </c>
      <c r="E775" s="2" t="s">
        <v>132</v>
      </c>
      <c r="F775" s="2">
        <f t="shared" ref="F775:F785" si="61">(D775*G775)/100</f>
        <v>20.2758</v>
      </c>
      <c r="G775" s="2">
        <v>7.19</v>
      </c>
    </row>
    <row r="776" spans="1:14" hidden="1" x14ac:dyDescent="0.25">
      <c r="A776" t="s">
        <v>76</v>
      </c>
      <c r="B776" t="s">
        <v>77</v>
      </c>
      <c r="C776" s="2">
        <v>28.2</v>
      </c>
      <c r="D776" s="1">
        <v>282</v>
      </c>
      <c r="E776" s="2" t="s">
        <v>145</v>
      </c>
      <c r="F776" s="2">
        <f t="shared" si="61"/>
        <v>19.909199999999998</v>
      </c>
      <c r="G776" s="2">
        <v>7.06</v>
      </c>
    </row>
    <row r="777" spans="1:14" hidden="1" x14ac:dyDescent="0.25">
      <c r="A777" t="s">
        <v>76</v>
      </c>
      <c r="B777" t="s">
        <v>77</v>
      </c>
      <c r="C777" s="2">
        <v>28.2</v>
      </c>
      <c r="D777" s="1">
        <v>282</v>
      </c>
      <c r="E777" s="2" t="s">
        <v>128</v>
      </c>
      <c r="F777" s="2">
        <f t="shared" si="61"/>
        <v>9.785400000000001</v>
      </c>
      <c r="G777" s="2">
        <v>3.47</v>
      </c>
    </row>
    <row r="778" spans="1:14" hidden="1" x14ac:dyDescent="0.25">
      <c r="A778" t="s">
        <v>76</v>
      </c>
      <c r="B778" t="s">
        <v>77</v>
      </c>
      <c r="C778" s="2">
        <v>28.2</v>
      </c>
      <c r="D778" s="1">
        <v>282</v>
      </c>
      <c r="E778" s="2" t="s">
        <v>172</v>
      </c>
      <c r="F778" s="2">
        <f t="shared" si="61"/>
        <v>3.0455999999999999</v>
      </c>
      <c r="G778" s="2">
        <v>1.08</v>
      </c>
    </row>
    <row r="779" spans="1:14" hidden="1" x14ac:dyDescent="0.25">
      <c r="A779" t="s">
        <v>76</v>
      </c>
      <c r="B779" t="s">
        <v>77</v>
      </c>
      <c r="C779" s="2">
        <v>28.2</v>
      </c>
      <c r="D779" s="1">
        <v>282</v>
      </c>
      <c r="E779" s="2" t="s">
        <v>185</v>
      </c>
      <c r="F779" s="2">
        <f t="shared" si="61"/>
        <v>2.5097999999999998</v>
      </c>
      <c r="G779" s="2">
        <v>0.89</v>
      </c>
    </row>
    <row r="780" spans="1:14" hidden="1" x14ac:dyDescent="0.25">
      <c r="A780" t="s">
        <v>76</v>
      </c>
      <c r="B780" t="s">
        <v>77</v>
      </c>
      <c r="C780" s="2">
        <v>28.2</v>
      </c>
      <c r="D780" s="1">
        <v>282</v>
      </c>
      <c r="E780" s="2" t="s">
        <v>200</v>
      </c>
      <c r="F780" s="2">
        <f t="shared" si="61"/>
        <v>2.4533999999999998</v>
      </c>
      <c r="G780" s="2">
        <v>0.86999999999999988</v>
      </c>
    </row>
    <row r="781" spans="1:14" hidden="1" x14ac:dyDescent="0.25">
      <c r="A781" t="s">
        <v>76</v>
      </c>
      <c r="B781" t="s">
        <v>77</v>
      </c>
      <c r="C781" s="2">
        <v>28.2</v>
      </c>
      <c r="D781" s="1">
        <v>282</v>
      </c>
      <c r="E781" s="2" t="s">
        <v>134</v>
      </c>
      <c r="F781" s="2">
        <f t="shared" si="61"/>
        <v>2.4252000000000002</v>
      </c>
      <c r="G781" s="2">
        <v>0.86</v>
      </c>
    </row>
    <row r="782" spans="1:14" hidden="1" x14ac:dyDescent="0.25">
      <c r="A782" t="s">
        <v>76</v>
      </c>
      <c r="B782" t="s">
        <v>77</v>
      </c>
      <c r="C782" s="2">
        <v>28.2</v>
      </c>
      <c r="D782" s="1">
        <v>282</v>
      </c>
      <c r="E782" s="2" t="s">
        <v>288</v>
      </c>
      <c r="F782" s="2">
        <f t="shared" si="61"/>
        <v>2.1995999999999998</v>
      </c>
      <c r="G782" s="2">
        <v>0.77999999999999992</v>
      </c>
    </row>
    <row r="783" spans="1:14" hidden="1" x14ac:dyDescent="0.25">
      <c r="A783" t="s">
        <v>76</v>
      </c>
      <c r="B783" t="s">
        <v>77</v>
      </c>
      <c r="C783" s="2">
        <v>28.2</v>
      </c>
      <c r="D783" s="1">
        <v>282</v>
      </c>
      <c r="E783" s="2" t="s">
        <v>186</v>
      </c>
      <c r="F783" s="2">
        <f t="shared" si="61"/>
        <v>1.3254000000000001</v>
      </c>
      <c r="G783" s="2">
        <v>0.47000000000000003</v>
      </c>
    </row>
    <row r="784" spans="1:14" hidden="1" x14ac:dyDescent="0.25">
      <c r="A784" t="s">
        <v>76</v>
      </c>
      <c r="B784" t="s">
        <v>77</v>
      </c>
      <c r="C784" s="2">
        <v>28.2</v>
      </c>
      <c r="D784" s="1">
        <v>282</v>
      </c>
      <c r="E784" s="2" t="s">
        <v>289</v>
      </c>
      <c r="F784" s="2">
        <f t="shared" si="61"/>
        <v>1.0151999999999999</v>
      </c>
      <c r="G784" s="2">
        <v>0.36</v>
      </c>
      <c r="N784" s="2"/>
    </row>
    <row r="785" spans="1:14" hidden="1" x14ac:dyDescent="0.25">
      <c r="A785" t="s">
        <v>76</v>
      </c>
      <c r="B785" t="s">
        <v>77</v>
      </c>
      <c r="C785" s="2">
        <v>28.2</v>
      </c>
      <c r="D785" s="1">
        <v>282</v>
      </c>
      <c r="E785" s="4" t="s">
        <v>96</v>
      </c>
      <c r="F785" s="2">
        <f t="shared" si="61"/>
        <v>15.763799999999998</v>
      </c>
      <c r="G785" s="2">
        <v>5.59</v>
      </c>
    </row>
    <row r="786" spans="1:14" x14ac:dyDescent="0.25">
      <c r="A786" t="str">
        <f>A785</f>
        <v>GROUP GRATUITY BOND FUND.</v>
      </c>
      <c r="B786" t="s">
        <v>77</v>
      </c>
      <c r="C786" s="2">
        <v>28.2</v>
      </c>
      <c r="D786" s="1">
        <v>282</v>
      </c>
      <c r="E786" s="4" t="s">
        <v>8</v>
      </c>
      <c r="F786" s="2">
        <f ca="1">SUMIF(A:A,M786,F:F)</f>
        <v>274.04760000000005</v>
      </c>
      <c r="G786" s="2">
        <f ca="1">SUMIF(A:A,M786,G:G)</f>
        <v>97.179999999999993</v>
      </c>
      <c r="I786" s="2">
        <f ca="1">(D786*J786)/100</f>
        <v>7.9524000000000203</v>
      </c>
      <c r="J786" s="2">
        <f ca="1">100-G786</f>
        <v>2.8200000000000074</v>
      </c>
      <c r="K786" s="2">
        <f>D786/1000</f>
        <v>0.28199999999999997</v>
      </c>
      <c r="M786" t="str">
        <f>A785</f>
        <v>GROUP GRATUITY BOND FUND.</v>
      </c>
    </row>
    <row r="787" spans="1:14" hidden="1" x14ac:dyDescent="0.25">
      <c r="C787" s="2"/>
      <c r="D787" s="1"/>
      <c r="N787" s="2"/>
    </row>
    <row r="788" spans="1:14" hidden="1" x14ac:dyDescent="0.25">
      <c r="A788" t="s">
        <v>78</v>
      </c>
      <c r="B788" t="s">
        <v>79</v>
      </c>
      <c r="C788" s="2">
        <v>94.07</v>
      </c>
      <c r="D788" s="1">
        <v>940.69999999999993</v>
      </c>
      <c r="E788" s="4" t="s">
        <v>117</v>
      </c>
    </row>
    <row r="789" spans="1:14" hidden="1" x14ac:dyDescent="0.25">
      <c r="A789" t="s">
        <v>78</v>
      </c>
      <c r="B789" t="s">
        <v>79</v>
      </c>
      <c r="C789" s="2">
        <v>94.07</v>
      </c>
      <c r="D789" s="1">
        <v>940.69999999999993</v>
      </c>
      <c r="E789" s="2" t="s">
        <v>156</v>
      </c>
      <c r="F789" s="2">
        <f t="shared" ref="F789:F798" si="62">(D789*G789)/100</f>
        <v>141.38720999999998</v>
      </c>
      <c r="G789" s="2">
        <v>15.03</v>
      </c>
    </row>
    <row r="790" spans="1:14" hidden="1" x14ac:dyDescent="0.25">
      <c r="A790" t="s">
        <v>78</v>
      </c>
      <c r="B790" t="s">
        <v>79</v>
      </c>
      <c r="C790" s="2">
        <v>94.07</v>
      </c>
      <c r="D790" s="1">
        <v>940.69999999999993</v>
      </c>
      <c r="E790" s="2" t="s">
        <v>118</v>
      </c>
      <c r="F790" s="2">
        <f t="shared" si="62"/>
        <v>104.13548999999999</v>
      </c>
      <c r="G790" s="2">
        <v>11.07</v>
      </c>
    </row>
    <row r="791" spans="1:14" hidden="1" x14ac:dyDescent="0.25">
      <c r="A791" t="s">
        <v>78</v>
      </c>
      <c r="B791" t="s">
        <v>79</v>
      </c>
      <c r="C791" s="2">
        <v>94.07</v>
      </c>
      <c r="D791" s="1">
        <v>940.69999999999993</v>
      </c>
      <c r="E791" s="2" t="s">
        <v>123</v>
      </c>
      <c r="F791" s="2">
        <f t="shared" si="62"/>
        <v>87.202889999999982</v>
      </c>
      <c r="G791" s="2">
        <v>9.27</v>
      </c>
    </row>
    <row r="792" spans="1:14" hidden="1" x14ac:dyDescent="0.25">
      <c r="A792" t="s">
        <v>78</v>
      </c>
      <c r="B792" t="s">
        <v>79</v>
      </c>
      <c r="C792" s="2">
        <v>94.07</v>
      </c>
      <c r="D792" s="1">
        <v>940.69999999999993</v>
      </c>
      <c r="E792" s="2" t="s">
        <v>140</v>
      </c>
      <c r="F792" s="2">
        <f t="shared" si="62"/>
        <v>36.02881</v>
      </c>
      <c r="G792" s="2">
        <v>3.83</v>
      </c>
    </row>
    <row r="793" spans="1:14" hidden="1" x14ac:dyDescent="0.25">
      <c r="A793" t="s">
        <v>78</v>
      </c>
      <c r="B793" t="s">
        <v>79</v>
      </c>
      <c r="C793" s="2">
        <v>94.07</v>
      </c>
      <c r="D793" s="1">
        <v>940.69999999999993</v>
      </c>
      <c r="E793" s="2" t="s">
        <v>262</v>
      </c>
      <c r="F793" s="2">
        <f t="shared" si="62"/>
        <v>30.666819999999998</v>
      </c>
      <c r="G793" s="2">
        <v>3.26</v>
      </c>
    </row>
    <row r="794" spans="1:14" hidden="1" x14ac:dyDescent="0.25">
      <c r="A794" t="s">
        <v>78</v>
      </c>
      <c r="B794" t="s">
        <v>79</v>
      </c>
      <c r="C794" s="2">
        <v>94.07</v>
      </c>
      <c r="D794" s="1">
        <v>940.69999999999993</v>
      </c>
      <c r="E794" s="2" t="s">
        <v>274</v>
      </c>
      <c r="F794" s="2">
        <f t="shared" si="62"/>
        <v>30.290539999999996</v>
      </c>
      <c r="G794" s="2">
        <v>3.2199999999999998</v>
      </c>
    </row>
    <row r="795" spans="1:14" hidden="1" x14ac:dyDescent="0.25">
      <c r="A795" t="s">
        <v>78</v>
      </c>
      <c r="B795" t="s">
        <v>79</v>
      </c>
      <c r="C795" s="2">
        <v>94.07</v>
      </c>
      <c r="D795" s="1">
        <v>940.69999999999993</v>
      </c>
      <c r="E795" s="2" t="s">
        <v>121</v>
      </c>
      <c r="F795" s="2">
        <f t="shared" si="62"/>
        <v>28.221</v>
      </c>
      <c r="G795" s="2">
        <v>3</v>
      </c>
    </row>
    <row r="796" spans="1:14" hidden="1" x14ac:dyDescent="0.25">
      <c r="A796" t="s">
        <v>78</v>
      </c>
      <c r="B796" t="s">
        <v>79</v>
      </c>
      <c r="C796" s="2">
        <v>94.07</v>
      </c>
      <c r="D796" s="1">
        <v>940.69999999999993</v>
      </c>
      <c r="E796" s="2" t="s">
        <v>290</v>
      </c>
      <c r="F796" s="2">
        <f t="shared" si="62"/>
        <v>25.022619999999996</v>
      </c>
      <c r="G796" s="2">
        <v>2.6599999999999997</v>
      </c>
    </row>
    <row r="797" spans="1:14" hidden="1" x14ac:dyDescent="0.25">
      <c r="A797" t="s">
        <v>78</v>
      </c>
      <c r="B797" t="s">
        <v>79</v>
      </c>
      <c r="C797" s="2">
        <v>94.07</v>
      </c>
      <c r="D797" s="1">
        <v>940.69999999999993</v>
      </c>
      <c r="E797" s="2" t="s">
        <v>273</v>
      </c>
      <c r="F797" s="2">
        <f t="shared" si="62"/>
        <v>23.235289999999996</v>
      </c>
      <c r="G797" s="2">
        <v>2.4699999999999998</v>
      </c>
    </row>
    <row r="798" spans="1:14" hidden="1" x14ac:dyDescent="0.25">
      <c r="A798" t="s">
        <v>78</v>
      </c>
      <c r="B798" t="s">
        <v>79</v>
      </c>
      <c r="C798" s="2">
        <v>94.07</v>
      </c>
      <c r="D798" s="1">
        <v>940.69999999999993</v>
      </c>
      <c r="E798" s="2" t="s">
        <v>291</v>
      </c>
      <c r="F798" s="2">
        <f t="shared" si="62"/>
        <v>19.660629999999998</v>
      </c>
      <c r="G798" s="2">
        <v>2.09</v>
      </c>
      <c r="N798" s="2"/>
    </row>
    <row r="799" spans="1:14" hidden="1" x14ac:dyDescent="0.25">
      <c r="A799" t="s">
        <v>78</v>
      </c>
      <c r="B799" t="s">
        <v>79</v>
      </c>
      <c r="C799" s="2">
        <v>94.07</v>
      </c>
      <c r="D799" s="1">
        <v>940.69999999999993</v>
      </c>
      <c r="E799" s="5" t="s">
        <v>126</v>
      </c>
    </row>
    <row r="800" spans="1:14" hidden="1" x14ac:dyDescent="0.25">
      <c r="A800" t="s">
        <v>78</v>
      </c>
      <c r="B800" t="s">
        <v>79</v>
      </c>
      <c r="C800" s="2">
        <v>94.07</v>
      </c>
      <c r="D800" s="1">
        <v>940.69999999999993</v>
      </c>
      <c r="E800" s="2" t="s">
        <v>133</v>
      </c>
      <c r="F800" s="2">
        <f t="shared" ref="F800:F810" si="63">(D800*G800)/100</f>
        <v>47.223140000000001</v>
      </c>
      <c r="G800" s="2">
        <v>5.0200000000000005</v>
      </c>
    </row>
    <row r="801" spans="1:14" hidden="1" x14ac:dyDescent="0.25">
      <c r="A801" t="s">
        <v>78</v>
      </c>
      <c r="B801" t="s">
        <v>79</v>
      </c>
      <c r="C801" s="2">
        <v>94.07</v>
      </c>
      <c r="D801" s="1">
        <v>940.69999999999993</v>
      </c>
      <c r="E801" s="2" t="s">
        <v>136</v>
      </c>
      <c r="F801" s="2">
        <f t="shared" si="63"/>
        <v>43.930689999999998</v>
      </c>
      <c r="G801" s="2">
        <v>4.67</v>
      </c>
    </row>
    <row r="802" spans="1:14" hidden="1" x14ac:dyDescent="0.25">
      <c r="A802" t="s">
        <v>78</v>
      </c>
      <c r="B802" t="s">
        <v>79</v>
      </c>
      <c r="C802" s="2">
        <v>94.07</v>
      </c>
      <c r="D802" s="1">
        <v>940.69999999999993</v>
      </c>
      <c r="E802" s="2" t="s">
        <v>128</v>
      </c>
      <c r="F802" s="2">
        <f t="shared" si="63"/>
        <v>34.241479999999996</v>
      </c>
      <c r="G802" s="2">
        <v>3.64</v>
      </c>
    </row>
    <row r="803" spans="1:14" hidden="1" x14ac:dyDescent="0.25">
      <c r="A803" t="s">
        <v>78</v>
      </c>
      <c r="B803" t="s">
        <v>79</v>
      </c>
      <c r="C803" s="2">
        <v>94.07</v>
      </c>
      <c r="D803" s="1">
        <v>940.69999999999993</v>
      </c>
      <c r="E803" s="2" t="s">
        <v>145</v>
      </c>
      <c r="F803" s="2">
        <f t="shared" si="63"/>
        <v>29.914259999999999</v>
      </c>
      <c r="G803" s="2">
        <v>3.18</v>
      </c>
    </row>
    <row r="804" spans="1:14" hidden="1" x14ac:dyDescent="0.25">
      <c r="A804" t="s">
        <v>78</v>
      </c>
      <c r="B804" t="s">
        <v>79</v>
      </c>
      <c r="C804" s="2">
        <v>94.07</v>
      </c>
      <c r="D804" s="1">
        <v>940.69999999999993</v>
      </c>
      <c r="E804" s="2" t="s">
        <v>127</v>
      </c>
      <c r="F804" s="2">
        <f t="shared" si="63"/>
        <v>24.928549999999994</v>
      </c>
      <c r="G804" s="2">
        <v>2.65</v>
      </c>
    </row>
    <row r="805" spans="1:14" hidden="1" x14ac:dyDescent="0.25">
      <c r="A805" t="s">
        <v>78</v>
      </c>
      <c r="B805" t="s">
        <v>79</v>
      </c>
      <c r="C805" s="2">
        <v>94.07</v>
      </c>
      <c r="D805" s="1">
        <v>940.69999999999993</v>
      </c>
      <c r="E805" s="2" t="s">
        <v>172</v>
      </c>
      <c r="F805" s="2">
        <f t="shared" si="63"/>
        <v>14.204569999999999</v>
      </c>
      <c r="G805" s="2">
        <v>1.51</v>
      </c>
    </row>
    <row r="806" spans="1:14" hidden="1" x14ac:dyDescent="0.25">
      <c r="A806" t="s">
        <v>78</v>
      </c>
      <c r="B806" t="s">
        <v>79</v>
      </c>
      <c r="C806" s="2">
        <v>94.07</v>
      </c>
      <c r="D806" s="1">
        <v>940.69999999999993</v>
      </c>
      <c r="E806" s="2" t="s">
        <v>165</v>
      </c>
      <c r="F806" s="2">
        <f t="shared" si="63"/>
        <v>12.981659999999998</v>
      </c>
      <c r="G806" s="2">
        <v>1.38</v>
      </c>
    </row>
    <row r="807" spans="1:14" hidden="1" x14ac:dyDescent="0.25">
      <c r="A807" t="s">
        <v>78</v>
      </c>
      <c r="B807" t="s">
        <v>79</v>
      </c>
      <c r="C807" s="2">
        <v>94.07</v>
      </c>
      <c r="D807" s="1">
        <v>940.69999999999993</v>
      </c>
      <c r="E807" s="2" t="s">
        <v>185</v>
      </c>
      <c r="F807" s="2">
        <f t="shared" si="63"/>
        <v>12.41724</v>
      </c>
      <c r="G807" s="2">
        <v>1.32</v>
      </c>
    </row>
    <row r="808" spans="1:14" hidden="1" x14ac:dyDescent="0.25">
      <c r="A808" t="s">
        <v>78</v>
      </c>
      <c r="B808" t="s">
        <v>79</v>
      </c>
      <c r="C808" s="2">
        <v>94.07</v>
      </c>
      <c r="D808" s="1">
        <v>940.69999999999993</v>
      </c>
      <c r="E808" t="s">
        <v>292</v>
      </c>
      <c r="F808" s="2">
        <f t="shared" si="63"/>
        <v>11.47654</v>
      </c>
      <c r="G808" s="2">
        <v>1.22</v>
      </c>
    </row>
    <row r="809" spans="1:14" hidden="1" x14ac:dyDescent="0.25">
      <c r="A809" t="s">
        <v>78</v>
      </c>
      <c r="B809" t="s">
        <v>79</v>
      </c>
      <c r="C809" s="2">
        <v>94.07</v>
      </c>
      <c r="D809" s="1">
        <v>940.69999999999993</v>
      </c>
      <c r="E809" t="s">
        <v>132</v>
      </c>
      <c r="F809" s="2">
        <f t="shared" si="63"/>
        <v>10.159560000000001</v>
      </c>
      <c r="G809" s="2">
        <v>1.08</v>
      </c>
      <c r="N809" s="2"/>
    </row>
    <row r="810" spans="1:14" hidden="1" x14ac:dyDescent="0.25">
      <c r="A810" t="s">
        <v>78</v>
      </c>
      <c r="B810" t="s">
        <v>79</v>
      </c>
      <c r="C810" s="2">
        <v>94.07</v>
      </c>
      <c r="D810" s="1">
        <v>940.69999999999993</v>
      </c>
      <c r="E810" s="4" t="s">
        <v>96</v>
      </c>
      <c r="F810" s="2">
        <f t="shared" si="63"/>
        <v>47.129069999999992</v>
      </c>
      <c r="G810" s="2">
        <v>5.01</v>
      </c>
    </row>
    <row r="811" spans="1:14" x14ac:dyDescent="0.25">
      <c r="A811" t="str">
        <f>A810</f>
        <v>GR GRATUITY CONSERVATIVE FUND</v>
      </c>
      <c r="B811" t="s">
        <v>79</v>
      </c>
      <c r="C811" s="2">
        <v>94.07</v>
      </c>
      <c r="D811" s="1">
        <v>940.69999999999993</v>
      </c>
      <c r="E811" s="4" t="s">
        <v>8</v>
      </c>
      <c r="F811" s="2">
        <f ca="1">SUMIF(A:A,M811,F:F)</f>
        <v>814.45806000000016</v>
      </c>
      <c r="G811" s="2">
        <f ca="1">SUMIF(A:A,M811,G:G)</f>
        <v>86.58</v>
      </c>
      <c r="I811" s="2">
        <f ca="1">(D811*J811)/100</f>
        <v>126.24194000000001</v>
      </c>
      <c r="J811" s="2">
        <f ca="1">100-G811</f>
        <v>13.420000000000002</v>
      </c>
      <c r="K811" s="2">
        <f>D811/1000</f>
        <v>0.94069999999999998</v>
      </c>
      <c r="M811" t="str">
        <f>A810</f>
        <v>GR GRATUITY CONSERVATIVE FUND</v>
      </c>
    </row>
    <row r="812" spans="1:14" hidden="1" x14ac:dyDescent="0.25">
      <c r="C812" s="2"/>
      <c r="D812" s="1"/>
      <c r="N812" s="2"/>
    </row>
    <row r="813" spans="1:14" hidden="1" x14ac:dyDescent="0.25">
      <c r="A813" t="s">
        <v>80</v>
      </c>
      <c r="B813" t="s">
        <v>81</v>
      </c>
      <c r="C813" s="2">
        <v>0.56999999999999995</v>
      </c>
      <c r="D813" s="1">
        <v>5.6999999999999993</v>
      </c>
      <c r="E813" s="4" t="s">
        <v>117</v>
      </c>
    </row>
    <row r="814" spans="1:14" hidden="1" x14ac:dyDescent="0.25">
      <c r="A814" t="s">
        <v>80</v>
      </c>
      <c r="B814" t="s">
        <v>81</v>
      </c>
      <c r="C814" s="2">
        <v>0.56999999999999995</v>
      </c>
      <c r="D814" s="1">
        <v>5.6999999999999993</v>
      </c>
      <c r="E814" s="3" t="s">
        <v>156</v>
      </c>
      <c r="F814" s="2">
        <f t="shared" ref="F814:F823" si="64">(D814*G814)/100</f>
        <v>1.0214399999999997</v>
      </c>
      <c r="G814" s="2">
        <v>17.919999999999998</v>
      </c>
    </row>
    <row r="815" spans="1:14" hidden="1" x14ac:dyDescent="0.25">
      <c r="A815" t="s">
        <v>80</v>
      </c>
      <c r="B815" t="s">
        <v>81</v>
      </c>
      <c r="C815" s="2">
        <v>0.56999999999999995</v>
      </c>
      <c r="D815" s="1">
        <v>5.6999999999999993</v>
      </c>
      <c r="E815" t="s">
        <v>123</v>
      </c>
      <c r="F815" s="2">
        <f t="shared" si="64"/>
        <v>0.9855299999999998</v>
      </c>
      <c r="G815" s="2">
        <v>17.29</v>
      </c>
    </row>
    <row r="816" spans="1:14" hidden="1" x14ac:dyDescent="0.25">
      <c r="A816" t="s">
        <v>80</v>
      </c>
      <c r="B816" t="s">
        <v>81</v>
      </c>
      <c r="C816" s="2">
        <v>0.56999999999999995</v>
      </c>
      <c r="D816" s="1">
        <v>5.6999999999999993</v>
      </c>
      <c r="E816" t="s">
        <v>121</v>
      </c>
      <c r="F816" s="2">
        <f t="shared" si="64"/>
        <v>0.96899999999999986</v>
      </c>
      <c r="G816" s="2">
        <v>17</v>
      </c>
    </row>
    <row r="817" spans="1:14" hidden="1" x14ac:dyDescent="0.25">
      <c r="A817" t="s">
        <v>80</v>
      </c>
      <c r="B817" t="s">
        <v>81</v>
      </c>
      <c r="C817" s="2">
        <v>0.56999999999999995</v>
      </c>
      <c r="D817" s="1">
        <v>5.6999999999999993</v>
      </c>
      <c r="E817" t="s">
        <v>140</v>
      </c>
      <c r="F817" s="2">
        <f t="shared" si="64"/>
        <v>0.55859999999999999</v>
      </c>
      <c r="G817" s="2">
        <v>9.8000000000000007</v>
      </c>
    </row>
    <row r="818" spans="1:14" hidden="1" x14ac:dyDescent="0.25">
      <c r="A818" t="s">
        <v>80</v>
      </c>
      <c r="B818" t="s">
        <v>81</v>
      </c>
      <c r="C818" s="2">
        <v>0.56999999999999995</v>
      </c>
      <c r="D818" s="1">
        <v>5.6999999999999993</v>
      </c>
      <c r="E818" t="s">
        <v>262</v>
      </c>
      <c r="F818" s="2">
        <f t="shared" si="64"/>
        <v>0.20633999999999997</v>
      </c>
      <c r="G818" s="2">
        <v>3.62</v>
      </c>
    </row>
    <row r="819" spans="1:14" hidden="1" x14ac:dyDescent="0.25">
      <c r="A819" t="s">
        <v>80</v>
      </c>
      <c r="B819" t="s">
        <v>81</v>
      </c>
      <c r="C819" s="2">
        <v>0.56999999999999995</v>
      </c>
      <c r="D819" s="1">
        <v>5.6999999999999993</v>
      </c>
      <c r="E819" t="s">
        <v>293</v>
      </c>
      <c r="F819" s="2">
        <f t="shared" si="64"/>
        <v>0.15788999999999997</v>
      </c>
      <c r="G819" s="2">
        <v>2.77</v>
      </c>
    </row>
    <row r="820" spans="1:14" hidden="1" x14ac:dyDescent="0.25">
      <c r="A820" t="s">
        <v>80</v>
      </c>
      <c r="B820" t="s">
        <v>81</v>
      </c>
      <c r="C820" s="2">
        <v>0.56999999999999995</v>
      </c>
      <c r="D820" s="1">
        <v>5.6999999999999993</v>
      </c>
      <c r="E820" t="s">
        <v>118</v>
      </c>
      <c r="F820" s="2">
        <f t="shared" si="64"/>
        <v>0.10886999999999998</v>
      </c>
      <c r="G820" s="2">
        <v>1.91</v>
      </c>
      <c r="N820" s="2"/>
    </row>
    <row r="821" spans="1:14" hidden="1" x14ac:dyDescent="0.25">
      <c r="A821" t="s">
        <v>80</v>
      </c>
      <c r="B821" t="s">
        <v>81</v>
      </c>
      <c r="C821" s="2">
        <v>0.56999999999999995</v>
      </c>
      <c r="D821" s="1">
        <v>5.6999999999999993</v>
      </c>
      <c r="E821" t="s">
        <v>124</v>
      </c>
      <c r="F821" s="2">
        <f t="shared" si="64"/>
        <v>9.2909999999999993E-2</v>
      </c>
      <c r="G821" s="2">
        <v>1.63</v>
      </c>
    </row>
    <row r="822" spans="1:14" hidden="1" x14ac:dyDescent="0.25">
      <c r="A822" t="s">
        <v>80</v>
      </c>
      <c r="B822" t="s">
        <v>81</v>
      </c>
      <c r="C822" s="2">
        <v>0.56999999999999995</v>
      </c>
      <c r="D822" s="1">
        <v>5.6999999999999993</v>
      </c>
      <c r="E822" t="s">
        <v>183</v>
      </c>
      <c r="F822" s="2">
        <f t="shared" si="64"/>
        <v>3.7619999999999994E-2</v>
      </c>
      <c r="G822" s="2">
        <v>0.66</v>
      </c>
    </row>
    <row r="823" spans="1:14" hidden="1" x14ac:dyDescent="0.25">
      <c r="A823" t="s">
        <v>80</v>
      </c>
      <c r="B823" t="s">
        <v>81</v>
      </c>
      <c r="C823" s="2">
        <v>0.56999999999999995</v>
      </c>
      <c r="D823" s="1">
        <v>5.6999999999999993</v>
      </c>
      <c r="E823" t="s">
        <v>294</v>
      </c>
      <c r="F823" s="2">
        <f t="shared" si="64"/>
        <v>2.9639999999999996E-2</v>
      </c>
      <c r="G823" s="2">
        <v>0.52</v>
      </c>
    </row>
    <row r="824" spans="1:14" hidden="1" x14ac:dyDescent="0.25">
      <c r="A824" t="s">
        <v>80</v>
      </c>
      <c r="B824" t="s">
        <v>81</v>
      </c>
      <c r="C824" s="2">
        <v>0.56999999999999995</v>
      </c>
      <c r="D824" s="1">
        <v>5.6999999999999993</v>
      </c>
      <c r="E824" s="4" t="s">
        <v>126</v>
      </c>
    </row>
    <row r="825" spans="1:14" hidden="1" x14ac:dyDescent="0.25">
      <c r="A825" t="s">
        <v>80</v>
      </c>
      <c r="B825" t="s">
        <v>81</v>
      </c>
      <c r="C825" s="2">
        <v>0.56999999999999995</v>
      </c>
      <c r="D825" s="1">
        <v>5.6999999999999993</v>
      </c>
      <c r="E825" s="2" t="s">
        <v>133</v>
      </c>
      <c r="F825" s="2">
        <f t="shared" ref="F825:F831" si="65">(D825*G825)/100</f>
        <v>0.40013999999999994</v>
      </c>
      <c r="G825" s="2">
        <v>7.02</v>
      </c>
    </row>
    <row r="826" spans="1:14" hidden="1" x14ac:dyDescent="0.25">
      <c r="A826" t="s">
        <v>80</v>
      </c>
      <c r="B826" t="s">
        <v>81</v>
      </c>
      <c r="C826" s="2">
        <v>0.56999999999999995</v>
      </c>
      <c r="D826" s="1">
        <v>5.6999999999999993</v>
      </c>
      <c r="E826" s="2" t="s">
        <v>185</v>
      </c>
      <c r="F826" s="2">
        <f t="shared" si="65"/>
        <v>0.30266999999999999</v>
      </c>
      <c r="G826" s="2">
        <v>5.3100000000000005</v>
      </c>
    </row>
    <row r="827" spans="1:14" hidden="1" x14ac:dyDescent="0.25">
      <c r="A827" t="s">
        <v>80</v>
      </c>
      <c r="B827" t="s">
        <v>81</v>
      </c>
      <c r="C827" s="2">
        <v>0.56999999999999995</v>
      </c>
      <c r="D827" s="1">
        <v>5.6999999999999993</v>
      </c>
      <c r="E827" s="2" t="s">
        <v>285</v>
      </c>
      <c r="F827" s="2">
        <f t="shared" si="65"/>
        <v>0.20177999999999996</v>
      </c>
      <c r="G827" s="2">
        <v>3.54</v>
      </c>
    </row>
    <row r="828" spans="1:14" hidden="1" x14ac:dyDescent="0.25">
      <c r="A828" t="s">
        <v>80</v>
      </c>
      <c r="B828" t="s">
        <v>81</v>
      </c>
      <c r="C828" s="2">
        <v>0.56999999999999995</v>
      </c>
      <c r="D828" s="1">
        <v>5.6999999999999993</v>
      </c>
      <c r="E828" s="2" t="s">
        <v>186</v>
      </c>
      <c r="F828" s="2">
        <f t="shared" si="65"/>
        <v>0.10259999999999998</v>
      </c>
      <c r="G828" s="2">
        <v>1.7999999999999998</v>
      </c>
    </row>
    <row r="829" spans="1:14" hidden="1" x14ac:dyDescent="0.25">
      <c r="A829" t="s">
        <v>80</v>
      </c>
      <c r="B829" t="s">
        <v>81</v>
      </c>
      <c r="C829" s="2">
        <v>0.56999999999999995</v>
      </c>
      <c r="D829" s="1">
        <v>5.6999999999999993</v>
      </c>
      <c r="E829" s="2" t="s">
        <v>178</v>
      </c>
      <c r="F829" s="2">
        <f t="shared" si="65"/>
        <v>0.10203</v>
      </c>
      <c r="G829" s="2">
        <v>1.79</v>
      </c>
    </row>
    <row r="830" spans="1:14" hidden="1" x14ac:dyDescent="0.25">
      <c r="A830" t="s">
        <v>80</v>
      </c>
      <c r="B830" t="s">
        <v>81</v>
      </c>
      <c r="C830" s="2">
        <v>0.56999999999999995</v>
      </c>
      <c r="D830" s="1">
        <v>5.6999999999999993</v>
      </c>
      <c r="E830" s="2" t="s">
        <v>295</v>
      </c>
      <c r="F830" s="2">
        <f t="shared" si="65"/>
        <v>7.6380000000000003E-2</v>
      </c>
      <c r="G830" s="2">
        <v>1.34</v>
      </c>
      <c r="N830" s="2"/>
    </row>
    <row r="831" spans="1:14" hidden="1" x14ac:dyDescent="0.25">
      <c r="A831" t="s">
        <v>80</v>
      </c>
      <c r="B831" t="s">
        <v>81</v>
      </c>
      <c r="C831" s="2">
        <v>0.56999999999999995</v>
      </c>
      <c r="D831" s="1">
        <v>5.6999999999999993</v>
      </c>
      <c r="E831" s="4" t="s">
        <v>96</v>
      </c>
      <c r="F831" s="2">
        <f t="shared" si="65"/>
        <v>0.30323999999999995</v>
      </c>
      <c r="G831" s="2">
        <v>5.3199999999999994</v>
      </c>
    </row>
    <row r="832" spans="1:14" x14ac:dyDescent="0.25">
      <c r="A832" t="str">
        <f>A831</f>
        <v>GROUP SUPERANNUATION CONSERVATIVE FUND</v>
      </c>
      <c r="B832" t="s">
        <v>81</v>
      </c>
      <c r="C832" s="2">
        <v>0.56999999999999995</v>
      </c>
      <c r="D832" s="1">
        <v>5.6999999999999993</v>
      </c>
      <c r="E832" s="4" t="s">
        <v>8</v>
      </c>
      <c r="F832" s="2">
        <f ca="1">SUMIF(A:A,M832,F:F)</f>
        <v>5.6566799999999988</v>
      </c>
      <c r="G832" s="2">
        <f ca="1">SUMIF(A:A,M832,G:G)</f>
        <v>99.239999999999981</v>
      </c>
      <c r="I832" s="2">
        <f ca="1">(D832*J832)/100</f>
        <v>4.3320000000001101E-2</v>
      </c>
      <c r="J832" s="2">
        <f ca="1">100-G832</f>
        <v>0.76000000000001933</v>
      </c>
      <c r="K832" s="2">
        <f>D832/1000</f>
        <v>5.6999999999999993E-3</v>
      </c>
      <c r="M832" t="str">
        <f>A831</f>
        <v>GROUP SUPERANNUATION CONSERVATIVE FUND</v>
      </c>
    </row>
    <row r="833" spans="1:14" hidden="1" x14ac:dyDescent="0.25">
      <c r="C833" s="2"/>
      <c r="D833" s="1"/>
    </row>
    <row r="834" spans="1:14" hidden="1" x14ac:dyDescent="0.25">
      <c r="A834" t="s">
        <v>88</v>
      </c>
      <c r="B834" t="s">
        <v>89</v>
      </c>
      <c r="C834" s="2">
        <v>64.5</v>
      </c>
      <c r="D834" s="1">
        <v>645</v>
      </c>
      <c r="E834" s="4" t="s">
        <v>93</v>
      </c>
    </row>
    <row r="835" spans="1:14" hidden="1" x14ac:dyDescent="0.25">
      <c r="A835" t="s">
        <v>88</v>
      </c>
      <c r="B835" t="s">
        <v>89</v>
      </c>
      <c r="C835" s="2">
        <v>64.5</v>
      </c>
      <c r="D835" s="1">
        <v>645</v>
      </c>
      <c r="E835" t="s">
        <v>230</v>
      </c>
      <c r="F835" s="2">
        <f t="shared" ref="F835:F845" si="66">(D835*G835)/100</f>
        <v>19.930499999999999</v>
      </c>
      <c r="G835" s="2">
        <v>3.09</v>
      </c>
    </row>
    <row r="836" spans="1:14" hidden="1" x14ac:dyDescent="0.25">
      <c r="A836" t="s">
        <v>88</v>
      </c>
      <c r="B836" t="s">
        <v>89</v>
      </c>
      <c r="C836" s="2">
        <v>64.5</v>
      </c>
      <c r="D836" s="1">
        <v>645</v>
      </c>
      <c r="E836" t="s">
        <v>296</v>
      </c>
      <c r="F836" s="2">
        <f t="shared" si="66"/>
        <v>18.124500000000001</v>
      </c>
      <c r="G836" s="2">
        <v>2.81</v>
      </c>
    </row>
    <row r="837" spans="1:14" hidden="1" x14ac:dyDescent="0.25">
      <c r="A837" t="s">
        <v>88</v>
      </c>
      <c r="B837" t="s">
        <v>89</v>
      </c>
      <c r="C837" s="2">
        <v>64.5</v>
      </c>
      <c r="D837" s="1">
        <v>645</v>
      </c>
      <c r="E837" t="s">
        <v>297</v>
      </c>
      <c r="F837" s="2">
        <f t="shared" si="66"/>
        <v>17.9955</v>
      </c>
      <c r="G837" s="2">
        <v>2.79</v>
      </c>
    </row>
    <row r="838" spans="1:14" hidden="1" x14ac:dyDescent="0.25">
      <c r="A838" t="s">
        <v>88</v>
      </c>
      <c r="B838" t="s">
        <v>89</v>
      </c>
      <c r="C838" s="2">
        <v>64.5</v>
      </c>
      <c r="D838" s="1">
        <v>645</v>
      </c>
      <c r="E838" t="s">
        <v>298</v>
      </c>
      <c r="F838" s="2">
        <f t="shared" si="66"/>
        <v>17.866500000000002</v>
      </c>
      <c r="G838" s="2">
        <v>2.77</v>
      </c>
    </row>
    <row r="839" spans="1:14" hidden="1" x14ac:dyDescent="0.25">
      <c r="A839" t="s">
        <v>88</v>
      </c>
      <c r="B839" t="s">
        <v>89</v>
      </c>
      <c r="C839" s="2">
        <v>64.5</v>
      </c>
      <c r="D839" s="1">
        <v>645</v>
      </c>
      <c r="E839" t="s">
        <v>115</v>
      </c>
      <c r="F839" s="2">
        <f t="shared" si="66"/>
        <v>17.286000000000001</v>
      </c>
      <c r="G839" s="2">
        <v>2.68</v>
      </c>
    </row>
    <row r="840" spans="1:14" hidden="1" x14ac:dyDescent="0.25">
      <c r="A840" t="s">
        <v>88</v>
      </c>
      <c r="B840" t="s">
        <v>89</v>
      </c>
      <c r="C840" s="2">
        <v>64.5</v>
      </c>
      <c r="D840" s="1">
        <v>645</v>
      </c>
      <c r="E840" t="s">
        <v>299</v>
      </c>
      <c r="F840" s="2">
        <f t="shared" si="66"/>
        <v>17.028000000000002</v>
      </c>
      <c r="G840" s="2">
        <v>2.64</v>
      </c>
    </row>
    <row r="841" spans="1:14" hidden="1" x14ac:dyDescent="0.25">
      <c r="A841" t="s">
        <v>88</v>
      </c>
      <c r="B841" t="s">
        <v>89</v>
      </c>
      <c r="C841" s="2">
        <v>64.5</v>
      </c>
      <c r="D841" s="1">
        <v>645</v>
      </c>
      <c r="E841" t="s">
        <v>300</v>
      </c>
      <c r="F841" s="2">
        <f t="shared" si="66"/>
        <v>17.028000000000002</v>
      </c>
      <c r="G841" s="2">
        <v>2.64</v>
      </c>
    </row>
    <row r="842" spans="1:14" hidden="1" x14ac:dyDescent="0.25">
      <c r="A842" t="s">
        <v>88</v>
      </c>
      <c r="B842" t="s">
        <v>89</v>
      </c>
      <c r="C842" s="2">
        <v>64.5</v>
      </c>
      <c r="D842" s="1">
        <v>645</v>
      </c>
      <c r="E842" t="s">
        <v>301</v>
      </c>
      <c r="F842" s="2">
        <f t="shared" si="66"/>
        <v>16.834500000000002</v>
      </c>
      <c r="G842" s="2">
        <v>2.6100000000000003</v>
      </c>
    </row>
    <row r="843" spans="1:14" hidden="1" x14ac:dyDescent="0.25">
      <c r="A843" t="s">
        <v>88</v>
      </c>
      <c r="B843" t="s">
        <v>89</v>
      </c>
      <c r="C843" s="2">
        <v>64.5</v>
      </c>
      <c r="D843" s="1">
        <v>645</v>
      </c>
      <c r="E843" t="s">
        <v>219</v>
      </c>
      <c r="F843" s="2">
        <f t="shared" si="66"/>
        <v>16.512</v>
      </c>
      <c r="G843" s="2">
        <v>2.56</v>
      </c>
    </row>
    <row r="844" spans="1:14" hidden="1" x14ac:dyDescent="0.25">
      <c r="A844" t="s">
        <v>88</v>
      </c>
      <c r="B844" t="s">
        <v>89</v>
      </c>
      <c r="C844" s="2">
        <v>64.5</v>
      </c>
      <c r="D844" s="1">
        <v>645</v>
      </c>
      <c r="E844" t="s">
        <v>302</v>
      </c>
      <c r="F844" s="2">
        <f t="shared" si="66"/>
        <v>16.447499999999998</v>
      </c>
      <c r="G844" s="2">
        <v>2.5499999999999998</v>
      </c>
      <c r="N844" s="2"/>
    </row>
    <row r="845" spans="1:14" hidden="1" x14ac:dyDescent="0.25">
      <c r="A845" t="s">
        <v>88</v>
      </c>
      <c r="B845" t="s">
        <v>89</v>
      </c>
      <c r="C845" s="2">
        <v>64.5</v>
      </c>
      <c r="D845" s="1">
        <v>645</v>
      </c>
      <c r="E845" s="4" t="s">
        <v>96</v>
      </c>
      <c r="F845" s="2">
        <f t="shared" si="66"/>
        <v>5.6114999999999995</v>
      </c>
      <c r="G845" s="2">
        <v>0.86999999999999988</v>
      </c>
    </row>
    <row r="846" spans="1:14" x14ac:dyDescent="0.25">
      <c r="A846" t="str">
        <f>A845</f>
        <v xml:space="preserve">Nifty 500 Multifactor 50 Index Fund </v>
      </c>
      <c r="B846" t="s">
        <v>89</v>
      </c>
      <c r="C846" s="2">
        <v>64.5</v>
      </c>
      <c r="D846" s="1">
        <v>645</v>
      </c>
      <c r="E846" s="4" t="s">
        <v>8</v>
      </c>
      <c r="F846" s="2">
        <f ca="1">SUMIF(A:A,M846,F:F)</f>
        <v>180.6645</v>
      </c>
      <c r="G846" s="2">
        <f ca="1">SUMIF(A:A,M846,G:G)</f>
        <v>28.01</v>
      </c>
      <c r="I846" s="2">
        <f ca="1">(D846*J846)/100</f>
        <v>464.33549999999997</v>
      </c>
      <c r="J846" s="2">
        <f ca="1">100-G846</f>
        <v>71.989999999999995</v>
      </c>
      <c r="K846" s="2">
        <f>D846/1000</f>
        <v>0.64500000000000002</v>
      </c>
      <c r="M846" t="str">
        <f>A845</f>
        <v xml:space="preserve">Nifty 500 Multifactor 50 Index Fund </v>
      </c>
    </row>
    <row r="847" spans="1:14" hidden="1" x14ac:dyDescent="0.25">
      <c r="C847" s="2"/>
      <c r="D847" s="1"/>
    </row>
    <row r="848" spans="1:14" hidden="1" x14ac:dyDescent="0.25">
      <c r="A848" t="s">
        <v>91</v>
      </c>
      <c r="B848" t="s">
        <v>92</v>
      </c>
      <c r="C848" s="2">
        <v>25.55</v>
      </c>
      <c r="D848" s="1">
        <v>255.5</v>
      </c>
      <c r="E848" s="4" t="s">
        <v>93</v>
      </c>
    </row>
    <row r="849" spans="1:14" hidden="1" x14ac:dyDescent="0.25">
      <c r="A849" t="s">
        <v>91</v>
      </c>
      <c r="B849" t="s">
        <v>92</v>
      </c>
      <c r="C849" s="2">
        <v>25.55</v>
      </c>
      <c r="D849" s="1">
        <v>255.5</v>
      </c>
      <c r="E849" t="s">
        <v>230</v>
      </c>
      <c r="F849" s="2">
        <f t="shared" ref="F849:F859" si="67">(D849*G849)/100</f>
        <v>7.8694000000000006</v>
      </c>
      <c r="G849" s="2">
        <v>3.08</v>
      </c>
    </row>
    <row r="850" spans="1:14" hidden="1" x14ac:dyDescent="0.25">
      <c r="A850" t="s">
        <v>91</v>
      </c>
      <c r="B850" t="s">
        <v>92</v>
      </c>
      <c r="C850" s="2">
        <v>25.55</v>
      </c>
      <c r="D850" s="1">
        <v>255.5</v>
      </c>
      <c r="E850" t="s">
        <v>296</v>
      </c>
      <c r="F850" s="2">
        <f t="shared" si="67"/>
        <v>7.1795500000000008</v>
      </c>
      <c r="G850" s="2">
        <v>2.81</v>
      </c>
    </row>
    <row r="851" spans="1:14" hidden="1" x14ac:dyDescent="0.25">
      <c r="A851" t="s">
        <v>91</v>
      </c>
      <c r="B851" t="s">
        <v>92</v>
      </c>
      <c r="C851" s="2">
        <v>25.55</v>
      </c>
      <c r="D851" s="1">
        <v>255.5</v>
      </c>
      <c r="E851" t="s">
        <v>297</v>
      </c>
      <c r="F851" s="2">
        <f t="shared" si="67"/>
        <v>7.12845</v>
      </c>
      <c r="G851" s="2">
        <v>2.79</v>
      </c>
    </row>
    <row r="852" spans="1:14" hidden="1" x14ac:dyDescent="0.25">
      <c r="A852" t="s">
        <v>91</v>
      </c>
      <c r="B852" t="s">
        <v>92</v>
      </c>
      <c r="C852" s="2">
        <v>25.55</v>
      </c>
      <c r="D852" s="1">
        <v>255.5</v>
      </c>
      <c r="E852" t="s">
        <v>298</v>
      </c>
      <c r="F852" s="2">
        <f t="shared" si="67"/>
        <v>7.07735</v>
      </c>
      <c r="G852" s="2">
        <v>2.77</v>
      </c>
    </row>
    <row r="853" spans="1:14" hidden="1" x14ac:dyDescent="0.25">
      <c r="A853" t="s">
        <v>91</v>
      </c>
      <c r="B853" t="s">
        <v>92</v>
      </c>
      <c r="C853" s="2">
        <v>25.55</v>
      </c>
      <c r="D853" s="1">
        <v>255.5</v>
      </c>
      <c r="E853" t="s">
        <v>115</v>
      </c>
      <c r="F853" s="2">
        <f t="shared" si="67"/>
        <v>6.8474000000000004</v>
      </c>
      <c r="G853" s="2">
        <v>2.68</v>
      </c>
    </row>
    <row r="854" spans="1:14" hidden="1" x14ac:dyDescent="0.25">
      <c r="A854" t="s">
        <v>91</v>
      </c>
      <c r="B854" t="s">
        <v>92</v>
      </c>
      <c r="C854" s="2">
        <v>25.55</v>
      </c>
      <c r="D854" s="1">
        <v>255.5</v>
      </c>
      <c r="E854" t="s">
        <v>299</v>
      </c>
      <c r="F854" s="2">
        <f t="shared" si="67"/>
        <v>6.7451999999999996</v>
      </c>
      <c r="G854" s="2">
        <v>2.64</v>
      </c>
    </row>
    <row r="855" spans="1:14" hidden="1" x14ac:dyDescent="0.25">
      <c r="A855" t="s">
        <v>91</v>
      </c>
      <c r="B855" t="s">
        <v>92</v>
      </c>
      <c r="C855" s="2">
        <v>25.55</v>
      </c>
      <c r="D855" s="1">
        <v>255.5</v>
      </c>
      <c r="E855" t="s">
        <v>300</v>
      </c>
      <c r="F855" s="2">
        <f t="shared" si="67"/>
        <v>6.7451999999999996</v>
      </c>
      <c r="G855" s="2">
        <v>2.64</v>
      </c>
    </row>
    <row r="856" spans="1:14" hidden="1" x14ac:dyDescent="0.25">
      <c r="A856" t="s">
        <v>91</v>
      </c>
      <c r="B856" t="s">
        <v>92</v>
      </c>
      <c r="C856" s="2">
        <v>25.55</v>
      </c>
      <c r="D856" s="1">
        <v>255.5</v>
      </c>
      <c r="E856" t="s">
        <v>301</v>
      </c>
      <c r="F856" s="2">
        <f t="shared" si="67"/>
        <v>6.6430000000000007</v>
      </c>
      <c r="G856" s="2">
        <v>2.6</v>
      </c>
    </row>
    <row r="857" spans="1:14" hidden="1" x14ac:dyDescent="0.25">
      <c r="A857" t="s">
        <v>91</v>
      </c>
      <c r="B857" t="s">
        <v>92</v>
      </c>
      <c r="C857" s="2">
        <v>25.55</v>
      </c>
      <c r="D857" s="1">
        <v>255.5</v>
      </c>
      <c r="E857" t="s">
        <v>219</v>
      </c>
      <c r="F857" s="2">
        <f t="shared" si="67"/>
        <v>6.5408000000000008</v>
      </c>
      <c r="G857" s="2">
        <v>2.56</v>
      </c>
    </row>
    <row r="858" spans="1:14" hidden="1" x14ac:dyDescent="0.25">
      <c r="A858" t="s">
        <v>91</v>
      </c>
      <c r="B858" t="s">
        <v>92</v>
      </c>
      <c r="C858" s="2">
        <v>25.55</v>
      </c>
      <c r="D858" s="1">
        <v>255.5</v>
      </c>
      <c r="E858" t="s">
        <v>302</v>
      </c>
      <c r="F858" s="2">
        <f t="shared" si="67"/>
        <v>6.51525</v>
      </c>
      <c r="G858" s="2">
        <v>2.5499999999999998</v>
      </c>
      <c r="N858" s="2"/>
    </row>
    <row r="859" spans="1:14" hidden="1" x14ac:dyDescent="0.25">
      <c r="A859" t="s">
        <v>91</v>
      </c>
      <c r="B859" t="s">
        <v>92</v>
      </c>
      <c r="C859" s="2">
        <v>25.55</v>
      </c>
      <c r="D859" s="1">
        <v>255.5</v>
      </c>
      <c r="E859" s="4" t="s">
        <v>96</v>
      </c>
      <c r="F859" s="2">
        <f t="shared" si="67"/>
        <v>2.6572000000000005</v>
      </c>
      <c r="G859" s="2">
        <v>1.04</v>
      </c>
    </row>
    <row r="860" spans="1:14" x14ac:dyDescent="0.25">
      <c r="A860" t="str">
        <f>A859</f>
        <v>NIFTY 500 MULTIFACTOR 50 INDEX PENSION FUND</v>
      </c>
      <c r="B860" t="s">
        <v>92</v>
      </c>
      <c r="C860" s="2">
        <v>25.55</v>
      </c>
      <c r="D860" s="1">
        <v>255.5</v>
      </c>
      <c r="E860" s="4" t="s">
        <v>8</v>
      </c>
      <c r="F860" s="2">
        <f ca="1">SUMIF(A:A,M860,F:F)</f>
        <v>71.948799999999991</v>
      </c>
      <c r="G860" s="2">
        <f ca="1">SUMIF(A:A,M860,G:G)</f>
        <v>28.16</v>
      </c>
      <c r="I860" s="2">
        <f ca="1">(D860*J860)/100</f>
        <v>183.55120000000002</v>
      </c>
      <c r="J860" s="2">
        <f ca="1">100-G860</f>
        <v>71.84</v>
      </c>
      <c r="K860" s="2">
        <f>D860/1000</f>
        <v>0.2555</v>
      </c>
      <c r="M860" t="str">
        <f>A859</f>
        <v>NIFTY 500 MULTIFACTOR 50 INDEX PENSION FUND</v>
      </c>
    </row>
    <row r="861" spans="1:14" hidden="1" x14ac:dyDescent="0.25">
      <c r="C861" s="2"/>
      <c r="D861" s="1"/>
    </row>
    <row r="862" spans="1:14" hidden="1" x14ac:dyDescent="0.25">
      <c r="A862" t="s">
        <v>94</v>
      </c>
      <c r="B862" t="s">
        <v>95</v>
      </c>
      <c r="C862" s="2">
        <v>117.98</v>
      </c>
      <c r="D862" s="1">
        <v>1179.8</v>
      </c>
      <c r="E862" s="4" t="s">
        <v>93</v>
      </c>
    </row>
    <row r="863" spans="1:14" hidden="1" x14ac:dyDescent="0.25">
      <c r="A863" t="s">
        <v>94</v>
      </c>
      <c r="B863" t="s">
        <v>95</v>
      </c>
      <c r="C863" s="2">
        <v>117.98</v>
      </c>
      <c r="D863" s="1">
        <v>1179.8</v>
      </c>
      <c r="E863" s="3" t="s">
        <v>297</v>
      </c>
      <c r="F863" s="2">
        <f t="shared" ref="F863:F873" si="68">(D863*G863)/100</f>
        <v>79.400539999999992</v>
      </c>
      <c r="G863" s="2">
        <v>6.7299999999999995</v>
      </c>
    </row>
    <row r="864" spans="1:14" hidden="1" x14ac:dyDescent="0.25">
      <c r="A864" t="s">
        <v>94</v>
      </c>
      <c r="B864" t="s">
        <v>95</v>
      </c>
      <c r="C864" s="2">
        <v>117.98</v>
      </c>
      <c r="D864" s="1">
        <v>1179.8</v>
      </c>
      <c r="E864" t="s">
        <v>87</v>
      </c>
      <c r="F864" s="2">
        <f t="shared" si="68"/>
        <v>78.338719999999995</v>
      </c>
      <c r="G864" s="2">
        <v>6.64</v>
      </c>
    </row>
    <row r="865" spans="1:14" hidden="1" x14ac:dyDescent="0.25">
      <c r="A865" t="s">
        <v>94</v>
      </c>
      <c r="B865" t="s">
        <v>95</v>
      </c>
      <c r="C865" s="2">
        <v>117.98</v>
      </c>
      <c r="D865" s="1">
        <v>1179.8</v>
      </c>
      <c r="E865" t="s">
        <v>223</v>
      </c>
      <c r="F865" s="2">
        <f t="shared" si="68"/>
        <v>76.333059999999989</v>
      </c>
      <c r="G865" s="2">
        <v>6.47</v>
      </c>
    </row>
    <row r="866" spans="1:14" hidden="1" x14ac:dyDescent="0.25">
      <c r="A866" t="s">
        <v>94</v>
      </c>
      <c r="B866" t="s">
        <v>95</v>
      </c>
      <c r="C866" s="2">
        <v>117.98</v>
      </c>
      <c r="D866" s="1">
        <v>1179.8</v>
      </c>
      <c r="E866" t="s">
        <v>303</v>
      </c>
      <c r="F866" s="2">
        <f t="shared" si="68"/>
        <v>75.62518</v>
      </c>
      <c r="G866" s="2">
        <v>6.41</v>
      </c>
    </row>
    <row r="867" spans="1:14" hidden="1" x14ac:dyDescent="0.25">
      <c r="A867" t="s">
        <v>94</v>
      </c>
      <c r="B867" t="s">
        <v>95</v>
      </c>
      <c r="C867" s="2">
        <v>117.98</v>
      </c>
      <c r="D867" s="1">
        <v>1179.8</v>
      </c>
      <c r="E867" t="s">
        <v>296</v>
      </c>
      <c r="F867" s="2">
        <f t="shared" si="68"/>
        <v>71.023959999999988</v>
      </c>
      <c r="G867" s="2">
        <v>6.02</v>
      </c>
    </row>
    <row r="868" spans="1:14" hidden="1" x14ac:dyDescent="0.25">
      <c r="A868" t="s">
        <v>94</v>
      </c>
      <c r="B868" t="s">
        <v>95</v>
      </c>
      <c r="C868" s="2">
        <v>117.98</v>
      </c>
      <c r="D868" s="1">
        <v>1179.8</v>
      </c>
      <c r="E868" t="s">
        <v>298</v>
      </c>
      <c r="F868" s="2">
        <f t="shared" si="68"/>
        <v>54.388780000000004</v>
      </c>
      <c r="G868" s="2">
        <v>4.6100000000000003</v>
      </c>
    </row>
    <row r="869" spans="1:14" hidden="1" x14ac:dyDescent="0.25">
      <c r="A869" t="s">
        <v>94</v>
      </c>
      <c r="B869" t="s">
        <v>95</v>
      </c>
      <c r="C869" s="2">
        <v>117.98</v>
      </c>
      <c r="D869" s="1">
        <v>1179.8</v>
      </c>
      <c r="E869" t="s">
        <v>304</v>
      </c>
      <c r="F869" s="2">
        <f t="shared" si="68"/>
        <v>51.439279999999997</v>
      </c>
      <c r="G869" s="2">
        <v>4.3600000000000003</v>
      </c>
    </row>
    <row r="870" spans="1:14" hidden="1" x14ac:dyDescent="0.25">
      <c r="A870" t="s">
        <v>94</v>
      </c>
      <c r="B870" t="s">
        <v>95</v>
      </c>
      <c r="C870" s="2">
        <v>117.98</v>
      </c>
      <c r="D870" s="1">
        <v>1179.8</v>
      </c>
      <c r="E870" t="s">
        <v>305</v>
      </c>
      <c r="F870" s="2">
        <f t="shared" si="68"/>
        <v>46.48411999999999</v>
      </c>
      <c r="G870" s="2">
        <v>3.94</v>
      </c>
      <c r="N870" s="2"/>
    </row>
    <row r="871" spans="1:14" hidden="1" x14ac:dyDescent="0.25">
      <c r="A871" t="s">
        <v>94</v>
      </c>
      <c r="B871" t="s">
        <v>95</v>
      </c>
      <c r="C871" s="2">
        <v>117.98</v>
      </c>
      <c r="D871" s="1">
        <v>1179.8</v>
      </c>
      <c r="E871" t="s">
        <v>302</v>
      </c>
      <c r="F871" s="2">
        <f t="shared" si="68"/>
        <v>42.944719999999997</v>
      </c>
      <c r="G871" s="2">
        <v>3.64</v>
      </c>
    </row>
    <row r="872" spans="1:14" hidden="1" x14ac:dyDescent="0.25">
      <c r="A872" t="s">
        <v>94</v>
      </c>
      <c r="B872" t="s">
        <v>95</v>
      </c>
      <c r="C872" s="2">
        <v>117.98</v>
      </c>
      <c r="D872" s="1">
        <v>1179.8</v>
      </c>
      <c r="E872" t="s">
        <v>306</v>
      </c>
      <c r="F872" s="2">
        <f t="shared" si="68"/>
        <v>39.759259999999998</v>
      </c>
      <c r="G872" s="2">
        <v>3.37</v>
      </c>
    </row>
    <row r="873" spans="1:14" hidden="1" x14ac:dyDescent="0.25">
      <c r="A873" t="s">
        <v>94</v>
      </c>
      <c r="B873" t="s">
        <v>95</v>
      </c>
      <c r="C873" s="2">
        <v>117.98</v>
      </c>
      <c r="D873" s="1">
        <v>1179.8</v>
      </c>
      <c r="E873" s="4" t="s">
        <v>96</v>
      </c>
      <c r="F873" s="2">
        <f t="shared" si="68"/>
        <v>15.21942</v>
      </c>
      <c r="G873" s="2">
        <v>1.29</v>
      </c>
    </row>
    <row r="874" spans="1:14" x14ac:dyDescent="0.25">
      <c r="A874" t="str">
        <f>A873</f>
        <v>BSE 500 Value 50 Index Fund</v>
      </c>
      <c r="B874" t="s">
        <v>95</v>
      </c>
      <c r="C874" s="2">
        <v>117.98</v>
      </c>
      <c r="D874" s="1">
        <v>1179.8</v>
      </c>
      <c r="E874" s="4" t="s">
        <v>8</v>
      </c>
      <c r="F874" s="2">
        <f ca="1">SUMIF(A:A,M874,F:F)</f>
        <v>630.95704000000001</v>
      </c>
      <c r="G874" s="2">
        <f ca="1">SUMIF(A:A,M874,G:G)</f>
        <v>53.47999999999999</v>
      </c>
      <c r="I874" s="2">
        <f ca="1">(D874*J874)/100</f>
        <v>548.84296000000006</v>
      </c>
      <c r="J874" s="2">
        <f ca="1">100-G874</f>
        <v>46.52000000000001</v>
      </c>
      <c r="K874" s="2">
        <f>D874/1000</f>
        <v>1.1798</v>
      </c>
      <c r="M874" t="str">
        <f>A873</f>
        <v>BSE 500 Value 50 Index Fund</v>
      </c>
    </row>
    <row r="875" spans="1:14" hidden="1" x14ac:dyDescent="0.25"/>
    <row r="876" spans="1:14" hidden="1" x14ac:dyDescent="0.25">
      <c r="A876" t="s">
        <v>98</v>
      </c>
      <c r="B876" t="s">
        <v>99</v>
      </c>
      <c r="C876" s="2">
        <v>21.93</v>
      </c>
      <c r="D876" s="1">
        <v>219.3</v>
      </c>
      <c r="E876" s="4" t="s">
        <v>93</v>
      </c>
    </row>
    <row r="877" spans="1:14" hidden="1" x14ac:dyDescent="0.25">
      <c r="A877" t="s">
        <v>98</v>
      </c>
      <c r="B877" t="s">
        <v>99</v>
      </c>
      <c r="C877" s="2">
        <v>21.93</v>
      </c>
      <c r="D877" s="1">
        <v>219.3</v>
      </c>
      <c r="E877" t="s">
        <v>5</v>
      </c>
      <c r="F877" s="2">
        <f t="shared" ref="F877:F887" si="69">(D877*G877)/100</f>
        <v>18.50892</v>
      </c>
      <c r="G877" s="2">
        <v>8.44</v>
      </c>
    </row>
    <row r="878" spans="1:14" hidden="1" x14ac:dyDescent="0.25">
      <c r="A878" t="s">
        <v>98</v>
      </c>
      <c r="B878" t="s">
        <v>99</v>
      </c>
      <c r="C878" s="2">
        <v>21.93</v>
      </c>
      <c r="D878" s="1">
        <v>219.3</v>
      </c>
      <c r="E878" t="s">
        <v>13</v>
      </c>
      <c r="F878" s="2">
        <f t="shared" si="69"/>
        <v>17.565930000000002</v>
      </c>
      <c r="G878" s="2">
        <v>8.01</v>
      </c>
    </row>
    <row r="879" spans="1:14" hidden="1" x14ac:dyDescent="0.25">
      <c r="A879" t="s">
        <v>98</v>
      </c>
      <c r="B879" t="s">
        <v>99</v>
      </c>
      <c r="C879" s="2">
        <v>21.93</v>
      </c>
      <c r="D879" s="1">
        <v>219.3</v>
      </c>
      <c r="E879" t="s">
        <v>174</v>
      </c>
      <c r="F879" s="2">
        <f t="shared" si="69"/>
        <v>15.109770000000003</v>
      </c>
      <c r="G879" s="2">
        <v>6.8900000000000006</v>
      </c>
    </row>
    <row r="880" spans="1:14" hidden="1" x14ac:dyDescent="0.25">
      <c r="A880" t="s">
        <v>98</v>
      </c>
      <c r="B880" t="s">
        <v>99</v>
      </c>
      <c r="C880" s="2">
        <v>21.93</v>
      </c>
      <c r="D880" s="1">
        <v>219.3</v>
      </c>
      <c r="E880" t="s">
        <v>307</v>
      </c>
      <c r="F880" s="2">
        <f t="shared" si="69"/>
        <v>14.144850000000002</v>
      </c>
      <c r="G880" s="2">
        <v>6.45</v>
      </c>
    </row>
    <row r="881" spans="1:13" hidden="1" x14ac:dyDescent="0.25">
      <c r="A881" t="s">
        <v>98</v>
      </c>
      <c r="B881" t="s">
        <v>99</v>
      </c>
      <c r="C881" s="2">
        <v>21.93</v>
      </c>
      <c r="D881" s="1">
        <v>219.3</v>
      </c>
      <c r="E881" t="s">
        <v>97</v>
      </c>
      <c r="F881" s="2">
        <f t="shared" si="69"/>
        <v>12.65361</v>
      </c>
      <c r="G881" s="2">
        <v>5.7700000000000005</v>
      </c>
    </row>
    <row r="882" spans="1:13" hidden="1" x14ac:dyDescent="0.25">
      <c r="A882" t="s">
        <v>98</v>
      </c>
      <c r="B882" t="s">
        <v>99</v>
      </c>
      <c r="C882" s="2">
        <v>21.93</v>
      </c>
      <c r="D882" s="1">
        <v>219.3</v>
      </c>
      <c r="E882" t="s">
        <v>149</v>
      </c>
      <c r="F882" s="2">
        <f t="shared" si="69"/>
        <v>12.236940000000002</v>
      </c>
      <c r="G882" s="2">
        <v>5.58</v>
      </c>
    </row>
    <row r="883" spans="1:13" hidden="1" x14ac:dyDescent="0.25">
      <c r="A883" t="s">
        <v>98</v>
      </c>
      <c r="B883" t="s">
        <v>99</v>
      </c>
      <c r="C883" s="2">
        <v>21.93</v>
      </c>
      <c r="D883" s="1">
        <v>219.3</v>
      </c>
      <c r="E883" t="s">
        <v>308</v>
      </c>
      <c r="F883" s="2">
        <f t="shared" si="69"/>
        <v>8.8597200000000011</v>
      </c>
      <c r="G883" s="2">
        <v>4.04</v>
      </c>
    </row>
    <row r="884" spans="1:13" hidden="1" x14ac:dyDescent="0.25">
      <c r="A884" t="s">
        <v>98</v>
      </c>
      <c r="B884" t="s">
        <v>99</v>
      </c>
      <c r="C884" s="2">
        <v>21.93</v>
      </c>
      <c r="D884" s="1">
        <v>219.3</v>
      </c>
      <c r="E884" t="s">
        <v>227</v>
      </c>
      <c r="F884" s="2">
        <f t="shared" si="69"/>
        <v>8.2456800000000001</v>
      </c>
      <c r="G884" s="2">
        <v>3.7600000000000002</v>
      </c>
    </row>
    <row r="885" spans="1:13" hidden="1" x14ac:dyDescent="0.25">
      <c r="A885" t="s">
        <v>98</v>
      </c>
      <c r="B885" t="s">
        <v>99</v>
      </c>
      <c r="C885" s="2">
        <v>21.93</v>
      </c>
      <c r="D885" s="1">
        <v>219.3</v>
      </c>
      <c r="E885" t="s">
        <v>309</v>
      </c>
      <c r="F885" s="2">
        <f t="shared" si="69"/>
        <v>7.7412900000000002</v>
      </c>
      <c r="G885" s="2">
        <v>3.53</v>
      </c>
    </row>
    <row r="886" spans="1:13" hidden="1" x14ac:dyDescent="0.25">
      <c r="A886" t="s">
        <v>98</v>
      </c>
      <c r="B886" t="s">
        <v>99</v>
      </c>
      <c r="C886" s="2">
        <v>21.93</v>
      </c>
      <c r="D886" s="1">
        <v>219.3</v>
      </c>
      <c r="E886" t="s">
        <v>148</v>
      </c>
      <c r="F886" s="2">
        <f t="shared" si="69"/>
        <v>7.2588299999999997</v>
      </c>
      <c r="G886" s="2">
        <v>3.3099999999999996</v>
      </c>
    </row>
    <row r="887" spans="1:13" hidden="1" x14ac:dyDescent="0.25">
      <c r="A887" t="s">
        <v>98</v>
      </c>
      <c r="B887" t="s">
        <v>99</v>
      </c>
      <c r="C887" s="2">
        <v>21.93</v>
      </c>
      <c r="D887" s="1">
        <v>219.3</v>
      </c>
      <c r="E887" s="4" t="s">
        <v>96</v>
      </c>
      <c r="F887" s="2">
        <f t="shared" si="69"/>
        <v>9.2763899999999992</v>
      </c>
      <c r="G887" s="2">
        <v>4.2299999999999995</v>
      </c>
    </row>
    <row r="888" spans="1:13" x14ac:dyDescent="0.25">
      <c r="A888" t="str">
        <f>A887</f>
        <v>INDIA CONSUMPTION OPPORTUNITIES FUND</v>
      </c>
      <c r="B888" t="s">
        <v>99</v>
      </c>
      <c r="C888" s="2">
        <v>21.93</v>
      </c>
      <c r="D888" s="1">
        <v>219.3</v>
      </c>
      <c r="E888" s="4" t="s">
        <v>8</v>
      </c>
      <c r="F888" s="2">
        <f ca="1">SUMIF(A:A,M888,F:F)</f>
        <v>131.60193000000001</v>
      </c>
      <c r="G888" s="2">
        <f ca="1">SUMIF(A:A,M888,G:G)</f>
        <v>60.01</v>
      </c>
      <c r="I888" s="2">
        <f ca="1">(D888*J888)/100</f>
        <v>87.698070000000001</v>
      </c>
      <c r="J888" s="2">
        <f ca="1">100-G888</f>
        <v>39.99</v>
      </c>
      <c r="K888" s="2">
        <f>D888/1000</f>
        <v>0.21930000000000002</v>
      </c>
      <c r="M888" t="str">
        <f>A887</f>
        <v>INDIA CONSUMPTION OPPORTUNITIES FUND</v>
      </c>
    </row>
    <row r="889" spans="1:13" hidden="1" x14ac:dyDescent="0.25"/>
    <row r="890" spans="1:13" hidden="1" x14ac:dyDescent="0.25">
      <c r="A890" t="s">
        <v>100</v>
      </c>
      <c r="B890" t="s">
        <v>101</v>
      </c>
      <c r="C890" s="2">
        <v>71.56</v>
      </c>
      <c r="D890" s="1">
        <v>715.6</v>
      </c>
      <c r="E890" s="4" t="s">
        <v>93</v>
      </c>
    </row>
    <row r="891" spans="1:13" hidden="1" x14ac:dyDescent="0.25">
      <c r="A891" t="s">
        <v>100</v>
      </c>
      <c r="B891" t="s">
        <v>101</v>
      </c>
      <c r="C891" s="2">
        <v>71.56</v>
      </c>
      <c r="D891" s="1">
        <v>715.6</v>
      </c>
      <c r="E891" t="s">
        <v>305</v>
      </c>
      <c r="F891" s="2">
        <f t="shared" ref="F891:F901" si="70">(D891*G891)/100</f>
        <v>39.78736</v>
      </c>
      <c r="G891" s="2">
        <v>5.56</v>
      </c>
    </row>
    <row r="892" spans="1:13" hidden="1" x14ac:dyDescent="0.25">
      <c r="A892" t="s">
        <v>100</v>
      </c>
      <c r="B892" t="s">
        <v>101</v>
      </c>
      <c r="C892" s="2">
        <v>71.56</v>
      </c>
      <c r="D892" s="1">
        <v>715.6</v>
      </c>
      <c r="E892" t="s">
        <v>297</v>
      </c>
      <c r="F892" s="2">
        <f t="shared" si="70"/>
        <v>38.71396</v>
      </c>
      <c r="G892" s="2">
        <v>5.41</v>
      </c>
    </row>
    <row r="893" spans="1:13" hidden="1" x14ac:dyDescent="0.25">
      <c r="A893" t="s">
        <v>100</v>
      </c>
      <c r="B893" t="s">
        <v>101</v>
      </c>
      <c r="C893" s="2">
        <v>71.56</v>
      </c>
      <c r="D893" s="1">
        <v>715.6</v>
      </c>
      <c r="E893" t="s">
        <v>298</v>
      </c>
      <c r="F893" s="2">
        <f t="shared" si="70"/>
        <v>38.069919999999996</v>
      </c>
      <c r="G893" s="2">
        <v>5.3199999999999994</v>
      </c>
    </row>
    <row r="894" spans="1:13" hidden="1" x14ac:dyDescent="0.25">
      <c r="A894" t="s">
        <v>100</v>
      </c>
      <c r="B894" t="s">
        <v>101</v>
      </c>
      <c r="C894" s="2">
        <v>71.56</v>
      </c>
      <c r="D894" s="1">
        <v>715.6</v>
      </c>
      <c r="E894" t="s">
        <v>296</v>
      </c>
      <c r="F894" s="2">
        <f t="shared" si="70"/>
        <v>37.282760000000003</v>
      </c>
      <c r="G894" s="2">
        <v>5.21</v>
      </c>
    </row>
    <row r="895" spans="1:13" hidden="1" x14ac:dyDescent="0.25">
      <c r="A895" t="s">
        <v>100</v>
      </c>
      <c r="B895" t="s">
        <v>101</v>
      </c>
      <c r="C895" s="2">
        <v>71.56</v>
      </c>
      <c r="D895" s="1">
        <v>715.6</v>
      </c>
      <c r="E895" t="s">
        <v>304</v>
      </c>
      <c r="F895" s="2">
        <f t="shared" si="70"/>
        <v>35.851559999999999</v>
      </c>
      <c r="G895" s="2">
        <v>5.01</v>
      </c>
    </row>
    <row r="896" spans="1:13" hidden="1" x14ac:dyDescent="0.25">
      <c r="A896" t="s">
        <v>100</v>
      </c>
      <c r="B896" t="s">
        <v>101</v>
      </c>
      <c r="C896" s="2">
        <v>71.56</v>
      </c>
      <c r="D896" s="1">
        <v>715.6</v>
      </c>
      <c r="E896" t="s">
        <v>310</v>
      </c>
      <c r="F896" s="2">
        <f t="shared" si="70"/>
        <v>33.776319999999998</v>
      </c>
      <c r="G896" s="2">
        <v>4.72</v>
      </c>
    </row>
    <row r="897" spans="1:13" hidden="1" x14ac:dyDescent="0.25">
      <c r="A897" t="s">
        <v>100</v>
      </c>
      <c r="B897" t="s">
        <v>101</v>
      </c>
      <c r="C897" s="2">
        <v>71.56</v>
      </c>
      <c r="D897" s="1">
        <v>715.6</v>
      </c>
      <c r="E897" t="s">
        <v>311</v>
      </c>
      <c r="F897" s="2">
        <f t="shared" si="70"/>
        <v>32.488239999999998</v>
      </c>
      <c r="G897" s="2">
        <v>4.54</v>
      </c>
    </row>
    <row r="898" spans="1:13" hidden="1" x14ac:dyDescent="0.25">
      <c r="A898" t="s">
        <v>100</v>
      </c>
      <c r="B898" t="s">
        <v>101</v>
      </c>
      <c r="C898" s="2">
        <v>71.56</v>
      </c>
      <c r="D898" s="1">
        <v>715.6</v>
      </c>
      <c r="E898" t="s">
        <v>210</v>
      </c>
      <c r="F898" s="2">
        <f t="shared" si="70"/>
        <v>31.772640000000006</v>
      </c>
      <c r="G898" s="2">
        <v>4.4400000000000004</v>
      </c>
    </row>
    <row r="899" spans="1:13" hidden="1" x14ac:dyDescent="0.25">
      <c r="A899" t="s">
        <v>100</v>
      </c>
      <c r="B899" t="s">
        <v>101</v>
      </c>
      <c r="C899" s="2">
        <v>71.56</v>
      </c>
      <c r="D899" s="1">
        <v>715.6</v>
      </c>
      <c r="E899" t="s">
        <v>312</v>
      </c>
      <c r="F899" s="2">
        <f t="shared" si="70"/>
        <v>30.985480000000003</v>
      </c>
      <c r="G899" s="2">
        <v>4.33</v>
      </c>
    </row>
    <row r="900" spans="1:13" hidden="1" x14ac:dyDescent="0.25">
      <c r="A900" t="s">
        <v>100</v>
      </c>
      <c r="B900" t="s">
        <v>101</v>
      </c>
      <c r="C900" s="2">
        <v>71.56</v>
      </c>
      <c r="D900" s="1">
        <v>715.6</v>
      </c>
      <c r="E900" t="s">
        <v>137</v>
      </c>
      <c r="F900" s="2">
        <f t="shared" si="70"/>
        <v>26.548760000000001</v>
      </c>
      <c r="G900" s="2">
        <v>3.71</v>
      </c>
    </row>
    <row r="901" spans="1:13" hidden="1" x14ac:dyDescent="0.25">
      <c r="A901" t="s">
        <v>100</v>
      </c>
      <c r="B901" t="s">
        <v>101</v>
      </c>
      <c r="C901" s="2">
        <v>71.56</v>
      </c>
      <c r="D901" s="1">
        <v>715.6</v>
      </c>
      <c r="E901" s="4" t="s">
        <v>96</v>
      </c>
      <c r="F901" s="2">
        <f t="shared" si="70"/>
        <v>17.746880000000001</v>
      </c>
      <c r="G901" s="2">
        <v>2.48</v>
      </c>
    </row>
    <row r="902" spans="1:13" x14ac:dyDescent="0.25">
      <c r="A902" t="str">
        <f>A901</f>
        <v>BSE 500 DIVIDEND LEADERS 50 INDEX FUND</v>
      </c>
      <c r="B902" t="s">
        <v>101</v>
      </c>
      <c r="C902" s="2">
        <v>71.56</v>
      </c>
      <c r="D902" s="1">
        <v>715.6</v>
      </c>
      <c r="E902" s="4" t="s">
        <v>8</v>
      </c>
      <c r="F902" s="2">
        <f ca="1">SUMIF(A:A,M902,F:F)</f>
        <v>363.02387999999996</v>
      </c>
      <c r="G902" s="2">
        <f ca="1">SUMIF(A:A,M902,G:G)</f>
        <v>50.72999999999999</v>
      </c>
      <c r="I902" s="2">
        <f ca="1">(D902*J902)/100</f>
        <v>352.57612000000006</v>
      </c>
      <c r="J902" s="2">
        <f ca="1">100-G902</f>
        <v>49.27000000000001</v>
      </c>
      <c r="K902" s="2">
        <f>D902/1000</f>
        <v>0.71560000000000001</v>
      </c>
      <c r="M902" t="str">
        <f>A901</f>
        <v>BSE 500 DIVIDEND LEADERS 50 INDEX FUND</v>
      </c>
    </row>
    <row r="903" spans="1:13" hidden="1" x14ac:dyDescent="0.25"/>
    <row r="904" spans="1:13" hidden="1" x14ac:dyDescent="0.25">
      <c r="A904" t="s">
        <v>102</v>
      </c>
      <c r="B904" t="s">
        <v>103</v>
      </c>
      <c r="C904" s="2">
        <v>13.88</v>
      </c>
      <c r="D904" s="1">
        <v>138.80000000000001</v>
      </c>
      <c r="E904" s="4" t="s">
        <v>93</v>
      </c>
    </row>
    <row r="905" spans="1:13" hidden="1" x14ac:dyDescent="0.25">
      <c r="A905" t="s">
        <v>102</v>
      </c>
      <c r="B905" t="s">
        <v>103</v>
      </c>
      <c r="C905" s="2">
        <v>13.88</v>
      </c>
      <c r="D905" s="1">
        <v>138.80000000000001</v>
      </c>
      <c r="E905" t="s">
        <v>110</v>
      </c>
      <c r="F905" s="2">
        <f t="shared" ref="F905:F915" si="71">(D905*G905)/100</f>
        <v>6.7734400000000008</v>
      </c>
      <c r="G905" s="2">
        <v>4.88</v>
      </c>
    </row>
    <row r="906" spans="1:13" hidden="1" x14ac:dyDescent="0.25">
      <c r="A906" t="s">
        <v>102</v>
      </c>
      <c r="B906" t="s">
        <v>103</v>
      </c>
      <c r="C906" s="2">
        <v>13.88</v>
      </c>
      <c r="D906" s="1">
        <v>138.80000000000001</v>
      </c>
      <c r="E906" t="s">
        <v>111</v>
      </c>
      <c r="F906" s="2">
        <f t="shared" si="71"/>
        <v>5.8573599999999999</v>
      </c>
      <c r="G906" s="2">
        <v>4.22</v>
      </c>
    </row>
    <row r="907" spans="1:13" hidden="1" x14ac:dyDescent="0.25">
      <c r="A907" t="s">
        <v>102</v>
      </c>
      <c r="B907" t="s">
        <v>103</v>
      </c>
      <c r="C907" s="2">
        <v>13.88</v>
      </c>
      <c r="D907" s="1">
        <v>138.80000000000001</v>
      </c>
      <c r="E907" t="s">
        <v>313</v>
      </c>
      <c r="F907" s="2">
        <f t="shared" si="71"/>
        <v>4.3166799999999999</v>
      </c>
      <c r="G907" s="2">
        <v>3.11</v>
      </c>
    </row>
    <row r="908" spans="1:13" hidden="1" x14ac:dyDescent="0.25">
      <c r="A908" t="s">
        <v>102</v>
      </c>
      <c r="B908" t="s">
        <v>103</v>
      </c>
      <c r="C908" s="2">
        <v>13.88</v>
      </c>
      <c r="D908" s="1">
        <v>138.80000000000001</v>
      </c>
      <c r="E908" t="s">
        <v>151</v>
      </c>
      <c r="F908" s="2">
        <f t="shared" si="71"/>
        <v>4.2611600000000012</v>
      </c>
      <c r="G908" s="2">
        <v>3.0700000000000003</v>
      </c>
    </row>
    <row r="909" spans="1:13" hidden="1" x14ac:dyDescent="0.25">
      <c r="A909" t="s">
        <v>102</v>
      </c>
      <c r="B909" t="s">
        <v>103</v>
      </c>
      <c r="C909" s="2">
        <v>13.88</v>
      </c>
      <c r="D909" s="1">
        <v>138.80000000000001</v>
      </c>
      <c r="E909" t="s">
        <v>150</v>
      </c>
      <c r="F909" s="2">
        <f t="shared" si="71"/>
        <v>4.2056400000000007</v>
      </c>
      <c r="G909" s="2">
        <v>3.0300000000000002</v>
      </c>
    </row>
    <row r="910" spans="1:13" hidden="1" x14ac:dyDescent="0.25">
      <c r="A910" t="s">
        <v>102</v>
      </c>
      <c r="B910" t="s">
        <v>103</v>
      </c>
      <c r="C910" s="2">
        <v>13.88</v>
      </c>
      <c r="D910" s="1">
        <v>138.80000000000001</v>
      </c>
      <c r="E910" t="s">
        <v>115</v>
      </c>
      <c r="F910" s="2">
        <f t="shared" si="71"/>
        <v>3.9558000000000004</v>
      </c>
      <c r="G910" s="2">
        <v>2.85</v>
      </c>
    </row>
    <row r="911" spans="1:13" hidden="1" x14ac:dyDescent="0.25">
      <c r="A911" t="s">
        <v>102</v>
      </c>
      <c r="B911" t="s">
        <v>103</v>
      </c>
      <c r="C911" s="2">
        <v>13.88</v>
      </c>
      <c r="D911" s="1">
        <v>138.80000000000001</v>
      </c>
      <c r="E911" t="s">
        <v>113</v>
      </c>
      <c r="F911" s="2">
        <f t="shared" si="71"/>
        <v>3.77536</v>
      </c>
      <c r="G911" s="2">
        <v>2.7199999999999998</v>
      </c>
    </row>
    <row r="912" spans="1:13" hidden="1" x14ac:dyDescent="0.25">
      <c r="A912" t="s">
        <v>102</v>
      </c>
      <c r="B912" t="s">
        <v>103</v>
      </c>
      <c r="C912" s="2">
        <v>13.88</v>
      </c>
      <c r="D912" s="1">
        <v>138.80000000000001</v>
      </c>
      <c r="E912" t="s">
        <v>314</v>
      </c>
      <c r="F912" s="2">
        <f t="shared" si="71"/>
        <v>3.5394000000000001</v>
      </c>
      <c r="G912" s="2">
        <v>2.5499999999999998</v>
      </c>
    </row>
    <row r="913" spans="1:13" hidden="1" x14ac:dyDescent="0.25">
      <c r="A913" t="s">
        <v>102</v>
      </c>
      <c r="B913" t="s">
        <v>103</v>
      </c>
      <c r="C913" s="2">
        <v>13.88</v>
      </c>
      <c r="D913" s="1">
        <v>138.80000000000001</v>
      </c>
      <c r="E913" t="s">
        <v>210</v>
      </c>
      <c r="F913" s="2">
        <f t="shared" si="71"/>
        <v>3.4561200000000003</v>
      </c>
      <c r="G913" s="2">
        <v>2.4899999999999998</v>
      </c>
    </row>
    <row r="914" spans="1:13" hidden="1" x14ac:dyDescent="0.25">
      <c r="A914" t="s">
        <v>102</v>
      </c>
      <c r="B914" t="s">
        <v>103</v>
      </c>
      <c r="C914" s="2">
        <v>13.88</v>
      </c>
      <c r="D914" s="1">
        <v>138.80000000000001</v>
      </c>
      <c r="E914" t="s">
        <v>174</v>
      </c>
      <c r="F914" s="2">
        <f t="shared" si="71"/>
        <v>3.2062800000000005</v>
      </c>
      <c r="G914" s="2">
        <v>2.31</v>
      </c>
    </row>
    <row r="915" spans="1:13" hidden="1" x14ac:dyDescent="0.25">
      <c r="A915" t="s">
        <v>102</v>
      </c>
      <c r="B915" t="s">
        <v>103</v>
      </c>
      <c r="C915" s="2">
        <v>13.88</v>
      </c>
      <c r="D915" s="1">
        <v>138.80000000000001</v>
      </c>
      <c r="E915" s="4" t="s">
        <v>96</v>
      </c>
      <c r="F915" s="2">
        <f t="shared" si="71"/>
        <v>5.024560000000001</v>
      </c>
      <c r="G915" s="2">
        <v>3.62</v>
      </c>
    </row>
    <row r="916" spans="1:13" x14ac:dyDescent="0.25">
      <c r="A916" t="str">
        <f>A915</f>
        <v>HIGH GROWTH PENSION FUND</v>
      </c>
      <c r="B916" t="s">
        <v>103</v>
      </c>
      <c r="C916" s="2">
        <v>13.88</v>
      </c>
      <c r="D916" s="1">
        <v>138.80000000000001</v>
      </c>
      <c r="E916" s="4" t="s">
        <v>8</v>
      </c>
      <c r="F916" s="2">
        <f ca="1">SUMIF(A:A,M916,F:F)</f>
        <v>48.3718</v>
      </c>
      <c r="G916" s="2">
        <f ca="1">SUMIF(A:A,M916,G:G)</f>
        <v>34.849999999999994</v>
      </c>
      <c r="I916" s="2">
        <f ca="1">(D916*J916)/100</f>
        <v>90.428200000000018</v>
      </c>
      <c r="J916" s="2">
        <f ca="1">100-G916</f>
        <v>65.150000000000006</v>
      </c>
      <c r="K916" s="2">
        <f>D916/1000</f>
        <v>0.13880000000000001</v>
      </c>
      <c r="M916" t="str">
        <f>A915</f>
        <v>HIGH GROWTH PENSION FUND</v>
      </c>
    </row>
    <row r="917" spans="1:13" hidden="1" x14ac:dyDescent="0.25"/>
    <row r="918" spans="1:13" hidden="1" x14ac:dyDescent="0.25">
      <c r="A918" t="s">
        <v>106</v>
      </c>
      <c r="B918" t="s">
        <v>105</v>
      </c>
      <c r="C918" s="2">
        <v>6.79</v>
      </c>
      <c r="D918" s="1">
        <v>67.900000000000006</v>
      </c>
      <c r="E918" s="4" t="s">
        <v>93</v>
      </c>
    </row>
    <row r="919" spans="1:13" hidden="1" x14ac:dyDescent="0.25">
      <c r="A919" t="s">
        <v>106</v>
      </c>
      <c r="B919" t="s">
        <v>105</v>
      </c>
      <c r="C919" s="2">
        <v>6.79</v>
      </c>
      <c r="D919" s="1">
        <v>67.900000000000006</v>
      </c>
      <c r="E919" t="s">
        <v>305</v>
      </c>
      <c r="F919" s="2">
        <f t="shared" ref="F919:F929" si="72">(D919*G919)/100</f>
        <v>3.8024000000000004</v>
      </c>
      <c r="G919" s="2">
        <v>5.6000000000000005</v>
      </c>
    </row>
    <row r="920" spans="1:13" hidden="1" x14ac:dyDescent="0.25">
      <c r="A920" t="s">
        <v>106</v>
      </c>
      <c r="B920" t="s">
        <v>105</v>
      </c>
      <c r="C920" s="2">
        <v>6.79</v>
      </c>
      <c r="D920" s="1">
        <v>67.900000000000006</v>
      </c>
      <c r="E920" t="s">
        <v>297</v>
      </c>
      <c r="F920" s="2">
        <f t="shared" si="72"/>
        <v>3.6937599999999997</v>
      </c>
      <c r="G920" s="2">
        <v>5.4399999999999995</v>
      </c>
    </row>
    <row r="921" spans="1:13" hidden="1" x14ac:dyDescent="0.25">
      <c r="A921" t="s">
        <v>106</v>
      </c>
      <c r="B921" t="s">
        <v>105</v>
      </c>
      <c r="C921" s="2">
        <v>6.79</v>
      </c>
      <c r="D921" s="1">
        <v>67.900000000000006</v>
      </c>
      <c r="E921" t="s">
        <v>298</v>
      </c>
      <c r="F921" s="2">
        <f t="shared" si="72"/>
        <v>3.6326499999999999</v>
      </c>
      <c r="G921" s="2">
        <v>5.35</v>
      </c>
    </row>
    <row r="922" spans="1:13" hidden="1" x14ac:dyDescent="0.25">
      <c r="A922" t="s">
        <v>106</v>
      </c>
      <c r="B922" t="s">
        <v>105</v>
      </c>
      <c r="C922" s="2">
        <v>6.79</v>
      </c>
      <c r="D922" s="1">
        <v>67.900000000000006</v>
      </c>
      <c r="E922" t="s">
        <v>296</v>
      </c>
      <c r="F922" s="2">
        <f t="shared" si="72"/>
        <v>3.5579600000000005</v>
      </c>
      <c r="G922" s="2">
        <v>5.24</v>
      </c>
    </row>
    <row r="923" spans="1:13" hidden="1" x14ac:dyDescent="0.25">
      <c r="A923" t="s">
        <v>106</v>
      </c>
      <c r="B923" t="s">
        <v>105</v>
      </c>
      <c r="C923" s="2">
        <v>6.79</v>
      </c>
      <c r="D923" s="1">
        <v>67.900000000000006</v>
      </c>
      <c r="E923" t="s">
        <v>304</v>
      </c>
      <c r="F923" s="2">
        <f t="shared" si="72"/>
        <v>3.4289500000000008</v>
      </c>
      <c r="G923" s="2">
        <v>5.0500000000000007</v>
      </c>
    </row>
    <row r="924" spans="1:13" hidden="1" x14ac:dyDescent="0.25">
      <c r="A924" t="s">
        <v>106</v>
      </c>
      <c r="B924" t="s">
        <v>105</v>
      </c>
      <c r="C924" s="2">
        <v>6.79</v>
      </c>
      <c r="D924" s="1">
        <v>67.900000000000006</v>
      </c>
      <c r="E924" t="s">
        <v>310</v>
      </c>
      <c r="F924" s="2">
        <f t="shared" si="72"/>
        <v>3.2252500000000004</v>
      </c>
      <c r="G924" s="2">
        <v>4.75</v>
      </c>
    </row>
    <row r="925" spans="1:13" hidden="1" x14ac:dyDescent="0.25">
      <c r="A925" t="s">
        <v>106</v>
      </c>
      <c r="B925" t="s">
        <v>105</v>
      </c>
      <c r="C925" s="2">
        <v>6.79</v>
      </c>
      <c r="D925" s="1">
        <v>67.900000000000006</v>
      </c>
      <c r="E925" t="s">
        <v>311</v>
      </c>
      <c r="F925" s="2">
        <f t="shared" si="72"/>
        <v>3.10303</v>
      </c>
      <c r="G925" s="2">
        <v>4.5699999999999994</v>
      </c>
    </row>
    <row r="926" spans="1:13" hidden="1" x14ac:dyDescent="0.25">
      <c r="A926" t="s">
        <v>106</v>
      </c>
      <c r="B926" t="s">
        <v>105</v>
      </c>
      <c r="C926" s="2">
        <v>6.79</v>
      </c>
      <c r="D926" s="1">
        <v>67.900000000000006</v>
      </c>
      <c r="E926" t="s">
        <v>210</v>
      </c>
      <c r="F926" s="2">
        <f t="shared" si="72"/>
        <v>3.0351300000000005</v>
      </c>
      <c r="G926" s="2">
        <v>4.47</v>
      </c>
    </row>
    <row r="927" spans="1:13" hidden="1" x14ac:dyDescent="0.25">
      <c r="A927" t="s">
        <v>106</v>
      </c>
      <c r="B927" t="s">
        <v>105</v>
      </c>
      <c r="C927" s="2">
        <v>6.79</v>
      </c>
      <c r="D927" s="1">
        <v>67.900000000000006</v>
      </c>
      <c r="E927" t="s">
        <v>312</v>
      </c>
      <c r="F927" s="2">
        <f t="shared" si="72"/>
        <v>2.9604400000000002</v>
      </c>
      <c r="G927" s="2">
        <v>4.3600000000000003</v>
      </c>
    </row>
    <row r="928" spans="1:13" hidden="1" x14ac:dyDescent="0.25">
      <c r="A928" t="s">
        <v>106</v>
      </c>
      <c r="B928" t="s">
        <v>105</v>
      </c>
      <c r="C928" s="2">
        <v>6.79</v>
      </c>
      <c r="D928" s="1">
        <v>67.900000000000006</v>
      </c>
      <c r="E928" t="s">
        <v>137</v>
      </c>
      <c r="F928" s="2">
        <f t="shared" si="72"/>
        <v>2.5326700000000004</v>
      </c>
      <c r="G928" s="2">
        <v>3.73</v>
      </c>
    </row>
    <row r="929" spans="1:13" hidden="1" x14ac:dyDescent="0.25">
      <c r="A929" t="s">
        <v>106</v>
      </c>
      <c r="B929" t="s">
        <v>105</v>
      </c>
      <c r="C929" s="2">
        <v>6.79</v>
      </c>
      <c r="D929" s="1">
        <v>67.900000000000006</v>
      </c>
      <c r="E929" s="4" t="s">
        <v>96</v>
      </c>
      <c r="F929" s="2">
        <f t="shared" si="72"/>
        <v>1.26294</v>
      </c>
      <c r="G929" s="2">
        <v>1.8599999999999999</v>
      </c>
    </row>
    <row r="930" spans="1:13" x14ac:dyDescent="0.25">
      <c r="A930" t="str">
        <f>A929</f>
        <v>BSE 500 DIVIDEND LEADERS 50 INDEX PENSION FUND</v>
      </c>
      <c r="B930" t="s">
        <v>105</v>
      </c>
      <c r="C930" s="2">
        <v>6.79</v>
      </c>
      <c r="D930" s="1">
        <v>67.900000000000006</v>
      </c>
      <c r="E930" s="4" t="s">
        <v>8</v>
      </c>
      <c r="F930" s="2">
        <f ca="1">SUMIF(A:A,M930,F:F)</f>
        <v>34.23518</v>
      </c>
      <c r="G930" s="2">
        <f ca="1">SUMIF(A:A,M930,G:G)</f>
        <v>50.419999999999995</v>
      </c>
      <c r="I930" s="2">
        <f ca="1">(D930*J930)/100</f>
        <v>33.664820000000006</v>
      </c>
      <c r="J930" s="2">
        <f ca="1">100-G930</f>
        <v>49.580000000000005</v>
      </c>
      <c r="K930" s="2">
        <f>D930/1000</f>
        <v>6.7900000000000002E-2</v>
      </c>
      <c r="M930" t="str">
        <f>A929</f>
        <v>BSE 500 DIVIDEND LEADERS 50 INDEX PENSION FUND</v>
      </c>
    </row>
    <row r="931" spans="1:13" hidden="1" x14ac:dyDescent="0.25"/>
    <row r="932" spans="1:13" hidden="1" x14ac:dyDescent="0.25">
      <c r="A932" t="s">
        <v>107</v>
      </c>
      <c r="B932" t="s">
        <v>152</v>
      </c>
      <c r="C932">
        <v>47.86</v>
      </c>
      <c r="D932">
        <v>478.6</v>
      </c>
      <c r="E932" s="4" t="s">
        <v>93</v>
      </c>
    </row>
    <row r="933" spans="1:13" hidden="1" x14ac:dyDescent="0.25">
      <c r="A933" t="s">
        <v>107</v>
      </c>
      <c r="B933" t="s">
        <v>152</v>
      </c>
      <c r="C933">
        <v>47.86</v>
      </c>
      <c r="D933">
        <v>478.6</v>
      </c>
      <c r="E933" t="s">
        <v>110</v>
      </c>
      <c r="F933" s="2">
        <f t="shared" ref="F933:F943" si="73">(D932*G933)/100</f>
        <v>18.856839999999998</v>
      </c>
      <c r="G933" s="2">
        <v>3.94</v>
      </c>
    </row>
    <row r="934" spans="1:13" hidden="1" x14ac:dyDescent="0.25">
      <c r="A934" t="s">
        <v>107</v>
      </c>
      <c r="B934" t="s">
        <v>152</v>
      </c>
      <c r="C934">
        <v>47.86</v>
      </c>
      <c r="D934">
        <v>478.6</v>
      </c>
      <c r="E934" t="s">
        <v>111</v>
      </c>
      <c r="F934" s="2">
        <f t="shared" si="73"/>
        <v>16.990300000000001</v>
      </c>
      <c r="G934" s="2">
        <v>3.55</v>
      </c>
    </row>
    <row r="935" spans="1:13" hidden="1" x14ac:dyDescent="0.25">
      <c r="A935" t="s">
        <v>107</v>
      </c>
      <c r="B935" t="s">
        <v>152</v>
      </c>
      <c r="C935">
        <v>47.86</v>
      </c>
      <c r="D935">
        <v>478.6</v>
      </c>
      <c r="E935" t="s">
        <v>112</v>
      </c>
      <c r="F935" s="2">
        <f t="shared" si="73"/>
        <v>14.836600000000001</v>
      </c>
      <c r="G935" s="2">
        <v>3.1</v>
      </c>
    </row>
    <row r="936" spans="1:13" hidden="1" x14ac:dyDescent="0.25">
      <c r="A936" t="s">
        <v>107</v>
      </c>
      <c r="B936" t="s">
        <v>152</v>
      </c>
      <c r="C936">
        <v>47.86</v>
      </c>
      <c r="D936">
        <v>478.6</v>
      </c>
      <c r="E936" t="s">
        <v>113</v>
      </c>
      <c r="F936" s="2">
        <f t="shared" si="73"/>
        <v>13.92726</v>
      </c>
      <c r="G936" s="2">
        <v>2.91</v>
      </c>
    </row>
    <row r="937" spans="1:13" hidden="1" x14ac:dyDescent="0.25">
      <c r="A937" t="s">
        <v>107</v>
      </c>
      <c r="B937" t="s">
        <v>152</v>
      </c>
      <c r="C937">
        <v>47.86</v>
      </c>
      <c r="D937">
        <v>478.6</v>
      </c>
      <c r="E937" t="s">
        <v>148</v>
      </c>
      <c r="F937" s="2">
        <f t="shared" si="73"/>
        <v>12.87434</v>
      </c>
      <c r="G937" s="2">
        <v>2.69</v>
      </c>
    </row>
    <row r="938" spans="1:13" hidden="1" x14ac:dyDescent="0.25">
      <c r="A938" t="s">
        <v>107</v>
      </c>
      <c r="B938" t="s">
        <v>152</v>
      </c>
      <c r="C938">
        <v>47.86</v>
      </c>
      <c r="D938">
        <v>478.6</v>
      </c>
      <c r="E938" t="s">
        <v>114</v>
      </c>
      <c r="F938" s="2">
        <f t="shared" si="73"/>
        <v>12.491460000000002</v>
      </c>
      <c r="G938" s="2">
        <v>2.6100000000000003</v>
      </c>
    </row>
    <row r="939" spans="1:13" hidden="1" x14ac:dyDescent="0.25">
      <c r="A939" t="s">
        <v>107</v>
      </c>
      <c r="B939" t="s">
        <v>152</v>
      </c>
      <c r="C939">
        <v>47.86</v>
      </c>
      <c r="D939">
        <v>478.6</v>
      </c>
      <c r="E939" t="s">
        <v>115</v>
      </c>
      <c r="F939" s="2">
        <f t="shared" si="73"/>
        <v>12.2043</v>
      </c>
      <c r="G939" s="2">
        <v>2.5499999999999998</v>
      </c>
    </row>
    <row r="940" spans="1:13" hidden="1" x14ac:dyDescent="0.25">
      <c r="A940" t="s">
        <v>107</v>
      </c>
      <c r="B940" t="s">
        <v>152</v>
      </c>
      <c r="C940">
        <v>47.86</v>
      </c>
      <c r="D940">
        <v>478.6</v>
      </c>
      <c r="E940" t="s">
        <v>313</v>
      </c>
      <c r="F940" s="2">
        <f t="shared" si="73"/>
        <v>10.481339999999999</v>
      </c>
      <c r="G940" s="2">
        <v>2.19</v>
      </c>
    </row>
    <row r="941" spans="1:13" hidden="1" x14ac:dyDescent="0.25">
      <c r="A941" t="s">
        <v>107</v>
      </c>
      <c r="B941" t="s">
        <v>152</v>
      </c>
      <c r="C941">
        <v>47.86</v>
      </c>
      <c r="D941">
        <v>478.6</v>
      </c>
      <c r="E941" t="s">
        <v>151</v>
      </c>
      <c r="F941" s="2">
        <f t="shared" si="73"/>
        <v>10.433480000000001</v>
      </c>
      <c r="G941" s="2">
        <v>2.1800000000000002</v>
      </c>
    </row>
    <row r="942" spans="1:13" hidden="1" x14ac:dyDescent="0.25">
      <c r="A942" t="s">
        <v>107</v>
      </c>
      <c r="B942" t="s">
        <v>152</v>
      </c>
      <c r="C942">
        <v>47.86</v>
      </c>
      <c r="D942">
        <v>478.6</v>
      </c>
      <c r="E942" t="s">
        <v>315</v>
      </c>
      <c r="F942" s="2">
        <f t="shared" si="73"/>
        <v>10.146320000000001</v>
      </c>
      <c r="G942" s="2">
        <v>2.12</v>
      </c>
    </row>
    <row r="943" spans="1:13" hidden="1" x14ac:dyDescent="0.25">
      <c r="A943" t="s">
        <v>107</v>
      </c>
      <c r="B943" t="s">
        <v>152</v>
      </c>
      <c r="C943">
        <v>47.86</v>
      </c>
      <c r="D943">
        <v>478.6</v>
      </c>
      <c r="E943" s="4" t="s">
        <v>96</v>
      </c>
      <c r="F943" s="2">
        <f t="shared" si="73"/>
        <v>32.209780000000002</v>
      </c>
      <c r="G943" s="2">
        <v>6.7299999999999995</v>
      </c>
    </row>
    <row r="944" spans="1:13" x14ac:dyDescent="0.25">
      <c r="A944" t="str">
        <f>A943</f>
        <v xml:space="preserve">High Growth Fund II </v>
      </c>
      <c r="B944" t="s">
        <v>152</v>
      </c>
      <c r="C944">
        <v>47.86</v>
      </c>
      <c r="D944">
        <v>478.6</v>
      </c>
      <c r="E944" s="4" t="s">
        <v>8</v>
      </c>
      <c r="F944" s="2">
        <f ca="1">SUMIF(A:A,M944,F:F)</f>
        <v>165.45202</v>
      </c>
      <c r="G944" s="2">
        <f ca="1">SUMIF(A:A,M944,G:G)</f>
        <v>34.57</v>
      </c>
      <c r="I944" s="2">
        <f ca="1">(D944*J944)/100</f>
        <v>313.14798000000008</v>
      </c>
      <c r="J944" s="2">
        <f ca="1">100-G944</f>
        <v>65.430000000000007</v>
      </c>
      <c r="K944" s="2">
        <f>D944/1000</f>
        <v>0.47860000000000003</v>
      </c>
      <c r="M944" t="str">
        <f>A943</f>
        <v xml:space="preserve">High Growth Fund II </v>
      </c>
    </row>
    <row r="945" spans="1:13" hidden="1" x14ac:dyDescent="0.25"/>
    <row r="946" spans="1:13" hidden="1" x14ac:dyDescent="0.25">
      <c r="A946" t="s">
        <v>109</v>
      </c>
      <c r="B946" t="s">
        <v>154</v>
      </c>
      <c r="C946">
        <v>0.11</v>
      </c>
      <c r="D946">
        <v>1.1000000000000001</v>
      </c>
      <c r="E946" s="4" t="s">
        <v>96</v>
      </c>
      <c r="F946" s="2">
        <f>(D946*G946)/100</f>
        <v>1.1000000000000001</v>
      </c>
      <c r="G946" s="2">
        <v>100</v>
      </c>
    </row>
    <row r="947" spans="1:13" x14ac:dyDescent="0.25">
      <c r="A947" t="str">
        <f>A946</f>
        <v xml:space="preserve">Diversified Equity Fund II </v>
      </c>
      <c r="B947" t="s">
        <v>154</v>
      </c>
      <c r="C947">
        <v>0.11</v>
      </c>
      <c r="D947">
        <v>1.1000000000000001</v>
      </c>
      <c r="E947" s="4" t="s">
        <v>8</v>
      </c>
      <c r="F947" s="2">
        <f ca="1">SUMIF(A:A,M947,F:F)</f>
        <v>1.1000000000000001</v>
      </c>
      <c r="G947" s="2">
        <f ca="1">SUMIF(A:A,M947,G:G)</f>
        <v>100</v>
      </c>
      <c r="I947" s="2">
        <f ca="1">(D947*J947)/100</f>
        <v>0</v>
      </c>
      <c r="J947" s="2">
        <f ca="1">100-G947</f>
        <v>0</v>
      </c>
      <c r="K947" s="7">
        <f>D947/1000</f>
        <v>1.1000000000000001E-3</v>
      </c>
      <c r="M947" t="str">
        <f>A946</f>
        <v xml:space="preserve">Diversified Equity Fund II </v>
      </c>
    </row>
    <row r="948" spans="1:13" hidden="1" x14ac:dyDescent="0.25"/>
    <row r="949" spans="1:13" hidden="1" x14ac:dyDescent="0.25">
      <c r="A949" t="s">
        <v>318</v>
      </c>
      <c r="B949" t="s">
        <v>317</v>
      </c>
      <c r="C949">
        <v>3.96</v>
      </c>
      <c r="D949">
        <v>39.6</v>
      </c>
      <c r="E949" s="4" t="s">
        <v>93</v>
      </c>
    </row>
    <row r="950" spans="1:13" hidden="1" x14ac:dyDescent="0.25">
      <c r="A950" t="s">
        <v>318</v>
      </c>
      <c r="B950" t="s">
        <v>317</v>
      </c>
      <c r="C950">
        <v>3.96</v>
      </c>
      <c r="D950">
        <v>39.6</v>
      </c>
      <c r="E950" t="s">
        <v>297</v>
      </c>
      <c r="F950" s="2">
        <f t="shared" ref="F950:F960" si="74">(D950*G950)/100</f>
        <v>2.6215199999999999</v>
      </c>
      <c r="G950" s="2">
        <v>6.6199999999999992</v>
      </c>
    </row>
    <row r="951" spans="1:13" hidden="1" x14ac:dyDescent="0.25">
      <c r="A951" t="s">
        <v>318</v>
      </c>
      <c r="B951" t="s">
        <v>317</v>
      </c>
      <c r="C951">
        <v>3.96</v>
      </c>
      <c r="D951">
        <v>39.6</v>
      </c>
      <c r="E951" t="s">
        <v>87</v>
      </c>
      <c r="F951" s="2">
        <f t="shared" si="74"/>
        <v>2.5898400000000006</v>
      </c>
      <c r="G951" s="2">
        <v>6.54</v>
      </c>
    </row>
    <row r="952" spans="1:13" hidden="1" x14ac:dyDescent="0.25">
      <c r="A952" t="s">
        <v>318</v>
      </c>
      <c r="B952" t="s">
        <v>317</v>
      </c>
      <c r="C952">
        <v>3.96</v>
      </c>
      <c r="D952">
        <v>39.6</v>
      </c>
      <c r="E952" t="s">
        <v>223</v>
      </c>
      <c r="F952" s="2">
        <f t="shared" si="74"/>
        <v>2.5225200000000005</v>
      </c>
      <c r="G952" s="2">
        <v>6.370000000000001</v>
      </c>
    </row>
    <row r="953" spans="1:13" hidden="1" x14ac:dyDescent="0.25">
      <c r="A953" t="s">
        <v>318</v>
      </c>
      <c r="B953" t="s">
        <v>317</v>
      </c>
      <c r="C953">
        <v>3.96</v>
      </c>
      <c r="D953">
        <v>39.6</v>
      </c>
      <c r="E953" t="s">
        <v>303</v>
      </c>
      <c r="F953" s="2">
        <f t="shared" si="74"/>
        <v>2.4987600000000003</v>
      </c>
      <c r="G953" s="2">
        <v>6.3100000000000005</v>
      </c>
    </row>
    <row r="954" spans="1:13" hidden="1" x14ac:dyDescent="0.25">
      <c r="A954" t="s">
        <v>318</v>
      </c>
      <c r="B954" t="s">
        <v>317</v>
      </c>
      <c r="C954">
        <v>3.96</v>
      </c>
      <c r="D954">
        <v>39.6</v>
      </c>
      <c r="E954" t="s">
        <v>296</v>
      </c>
      <c r="F954" s="2">
        <f t="shared" si="74"/>
        <v>2.3482799999999999</v>
      </c>
      <c r="G954" s="2">
        <v>5.93</v>
      </c>
    </row>
    <row r="955" spans="1:13" hidden="1" x14ac:dyDescent="0.25">
      <c r="A955" t="s">
        <v>318</v>
      </c>
      <c r="B955" t="s">
        <v>317</v>
      </c>
      <c r="C955">
        <v>3.96</v>
      </c>
      <c r="D955">
        <v>39.6</v>
      </c>
      <c r="E955" t="s">
        <v>298</v>
      </c>
      <c r="F955" s="2">
        <f t="shared" si="74"/>
        <v>1.7978400000000001</v>
      </c>
      <c r="G955" s="2">
        <v>4.54</v>
      </c>
    </row>
    <row r="956" spans="1:13" hidden="1" x14ac:dyDescent="0.25">
      <c r="A956" t="s">
        <v>318</v>
      </c>
      <c r="B956" t="s">
        <v>317</v>
      </c>
      <c r="C956">
        <v>3.96</v>
      </c>
      <c r="D956">
        <v>39.6</v>
      </c>
      <c r="E956" t="s">
        <v>304</v>
      </c>
      <c r="F956" s="2">
        <f t="shared" si="74"/>
        <v>1.6988400000000001</v>
      </c>
      <c r="G956" s="2">
        <v>4.29</v>
      </c>
    </row>
    <row r="957" spans="1:13" hidden="1" x14ac:dyDescent="0.25">
      <c r="A957" t="s">
        <v>318</v>
      </c>
      <c r="B957" t="s">
        <v>317</v>
      </c>
      <c r="C957">
        <v>3.96</v>
      </c>
      <c r="D957">
        <v>39.6</v>
      </c>
      <c r="E957" t="s">
        <v>305</v>
      </c>
      <c r="F957" s="2">
        <f t="shared" si="74"/>
        <v>1.5364800000000001</v>
      </c>
      <c r="G957" s="2">
        <v>3.88</v>
      </c>
    </row>
    <row r="958" spans="1:13" hidden="1" x14ac:dyDescent="0.25">
      <c r="A958" t="s">
        <v>318</v>
      </c>
      <c r="B958" t="s">
        <v>317</v>
      </c>
      <c r="C958">
        <v>3.96</v>
      </c>
      <c r="D958">
        <v>39.6</v>
      </c>
      <c r="E958" t="s">
        <v>302</v>
      </c>
      <c r="F958" s="2">
        <f t="shared" si="74"/>
        <v>1.4176800000000001</v>
      </c>
      <c r="G958" s="2">
        <v>3.58</v>
      </c>
    </row>
    <row r="959" spans="1:13" hidden="1" x14ac:dyDescent="0.25">
      <c r="A959" t="s">
        <v>318</v>
      </c>
      <c r="B959" t="s">
        <v>317</v>
      </c>
      <c r="C959">
        <v>3.96</v>
      </c>
      <c r="D959">
        <v>39.6</v>
      </c>
      <c r="E959" t="s">
        <v>306</v>
      </c>
      <c r="F959" s="2">
        <f t="shared" si="74"/>
        <v>1.3147200000000001</v>
      </c>
      <c r="G959" s="2">
        <v>3.32</v>
      </c>
    </row>
    <row r="960" spans="1:13" hidden="1" x14ac:dyDescent="0.25">
      <c r="A960" t="s">
        <v>318</v>
      </c>
      <c r="B960" t="s">
        <v>317</v>
      </c>
      <c r="C960">
        <v>3.96</v>
      </c>
      <c r="D960">
        <v>39.6</v>
      </c>
      <c r="E960" s="4" t="s">
        <v>96</v>
      </c>
      <c r="F960" s="2">
        <f t="shared" si="74"/>
        <v>1.1088</v>
      </c>
      <c r="G960" s="2">
        <v>2.8000000000000003</v>
      </c>
    </row>
    <row r="961" spans="1:13" x14ac:dyDescent="0.25">
      <c r="A961" t="s">
        <v>318</v>
      </c>
      <c r="B961" t="s">
        <v>317</v>
      </c>
      <c r="C961">
        <v>3.96</v>
      </c>
      <c r="D961">
        <v>39.6</v>
      </c>
      <c r="E961" s="4" t="s">
        <v>8</v>
      </c>
      <c r="F961" s="2">
        <f ca="1">SUMIF(A:A,M961,F:F)</f>
        <v>21.455280000000005</v>
      </c>
      <c r="G961" s="2">
        <f ca="1">SUMIF(A:A,M961,G:G)</f>
        <v>54.18</v>
      </c>
      <c r="I961" s="2">
        <f ca="1">(D961*J961)/100</f>
        <v>18.14472</v>
      </c>
      <c r="J961" s="2">
        <f ca="1">100-G961</f>
        <v>45.82</v>
      </c>
      <c r="K961" s="2">
        <f>D961/1000</f>
        <v>3.9600000000000003E-2</v>
      </c>
      <c r="M961" t="str">
        <f>A960</f>
        <v>BSE 500 VALUE 50 INDEX PENSION FUND</v>
      </c>
    </row>
    <row r="962" spans="1:13" hidden="1" x14ac:dyDescent="0.25"/>
    <row r="963" spans="1:13" hidden="1" x14ac:dyDescent="0.25">
      <c r="A963" t="s">
        <v>108</v>
      </c>
      <c r="B963" t="s">
        <v>153</v>
      </c>
      <c r="E963" s="4"/>
    </row>
    <row r="964" spans="1:13" hidden="1" x14ac:dyDescent="0.25">
      <c r="A964" t="s">
        <v>108</v>
      </c>
      <c r="B964" t="s">
        <v>153</v>
      </c>
      <c r="E964" s="4"/>
      <c r="K964" s="8"/>
    </row>
  </sheetData>
  <autoFilter ref="A1:N964" xr:uid="{308FB308-D303-4C40-BCAE-E736A9BE1403}">
    <filterColumn colId="4">
      <filters>
        <filter val="Grand Total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61C46-0029-4758-A26E-A52BD14A37DF}">
  <dimension ref="A2:C49"/>
  <sheetViews>
    <sheetView topLeftCell="A29" workbookViewId="0">
      <selection activeCell="B49" sqref="B49"/>
    </sheetView>
  </sheetViews>
  <sheetFormatPr defaultRowHeight="15" x14ac:dyDescent="0.25"/>
  <cols>
    <col min="1" max="1" width="46.7109375" customWidth="1"/>
    <col min="2" max="2" width="9.140625" style="2"/>
    <col min="3" max="3" width="10.140625" bestFit="1" customWidth="1"/>
  </cols>
  <sheetData>
    <row r="2" spans="1:3" x14ac:dyDescent="0.25">
      <c r="A2" t="s">
        <v>0</v>
      </c>
      <c r="B2" s="2">
        <v>12240.64</v>
      </c>
      <c r="C2" s="1">
        <f t="shared" ref="C2:C48" si="0">B2*10</f>
        <v>122406.39999999999</v>
      </c>
    </row>
    <row r="3" spans="1:3" x14ac:dyDescent="0.25">
      <c r="A3" t="s">
        <v>9</v>
      </c>
      <c r="B3" s="2">
        <v>12571.8</v>
      </c>
      <c r="C3" s="1">
        <f t="shared" si="0"/>
        <v>125718</v>
      </c>
    </row>
    <row r="4" spans="1:3" x14ac:dyDescent="0.25">
      <c r="A4" t="s">
        <v>11</v>
      </c>
      <c r="B4" s="2">
        <v>6859.67</v>
      </c>
      <c r="C4" s="1">
        <f t="shared" si="0"/>
        <v>68596.7</v>
      </c>
    </row>
    <row r="5" spans="1:3" x14ac:dyDescent="0.25">
      <c r="A5" t="s">
        <v>14</v>
      </c>
      <c r="B5" s="2">
        <v>2125.3000000000002</v>
      </c>
      <c r="C5" s="1">
        <f t="shared" si="0"/>
        <v>21253</v>
      </c>
    </row>
    <row r="6" spans="1:3" x14ac:dyDescent="0.25">
      <c r="A6" t="s">
        <v>16</v>
      </c>
      <c r="B6" s="2">
        <v>189.46</v>
      </c>
      <c r="C6" s="1">
        <f t="shared" si="0"/>
        <v>1894.6000000000001</v>
      </c>
    </row>
    <row r="7" spans="1:3" x14ac:dyDescent="0.25">
      <c r="A7" t="s">
        <v>18</v>
      </c>
      <c r="B7" s="2">
        <v>1012.93</v>
      </c>
      <c r="C7" s="1">
        <f t="shared" si="0"/>
        <v>10129.299999999999</v>
      </c>
    </row>
    <row r="8" spans="1:3" x14ac:dyDescent="0.25">
      <c r="A8" t="s">
        <v>20</v>
      </c>
      <c r="B8" s="2">
        <v>339.41</v>
      </c>
      <c r="C8" s="1">
        <f t="shared" si="0"/>
        <v>3394.1000000000004</v>
      </c>
    </row>
    <row r="9" spans="1:3" x14ac:dyDescent="0.25">
      <c r="A9" t="s">
        <v>22</v>
      </c>
      <c r="B9" s="2">
        <v>5.62</v>
      </c>
      <c r="C9" s="1">
        <f t="shared" si="0"/>
        <v>56.2</v>
      </c>
    </row>
    <row r="10" spans="1:3" x14ac:dyDescent="0.25">
      <c r="A10" t="s">
        <v>24</v>
      </c>
      <c r="B10" s="2">
        <v>176.83</v>
      </c>
      <c r="C10" s="1">
        <f t="shared" si="0"/>
        <v>1768.3000000000002</v>
      </c>
    </row>
    <row r="11" spans="1:3" x14ac:dyDescent="0.25">
      <c r="A11" t="s">
        <v>26</v>
      </c>
      <c r="B11" s="2">
        <v>1.56</v>
      </c>
      <c r="C11" s="1">
        <f t="shared" si="0"/>
        <v>15.600000000000001</v>
      </c>
    </row>
    <row r="12" spans="1:3" x14ac:dyDescent="0.25">
      <c r="A12" t="s">
        <v>28</v>
      </c>
      <c r="B12" s="2">
        <v>0.49</v>
      </c>
      <c r="C12" s="1">
        <f t="shared" si="0"/>
        <v>4.9000000000000004</v>
      </c>
    </row>
    <row r="13" spans="1:3" x14ac:dyDescent="0.25">
      <c r="A13" t="s">
        <v>30</v>
      </c>
      <c r="B13" s="2">
        <v>3327.76</v>
      </c>
      <c r="C13" s="1">
        <f t="shared" si="0"/>
        <v>33277.600000000006</v>
      </c>
    </row>
    <row r="14" spans="1:3" x14ac:dyDescent="0.25">
      <c r="A14" t="s">
        <v>32</v>
      </c>
      <c r="B14" s="2">
        <v>108.55</v>
      </c>
      <c r="C14" s="1">
        <f t="shared" si="0"/>
        <v>1085.5</v>
      </c>
    </row>
    <row r="15" spans="1:3" x14ac:dyDescent="0.25">
      <c r="A15" t="s">
        <v>34</v>
      </c>
      <c r="B15" s="2">
        <v>600.80999999999995</v>
      </c>
      <c r="C15" s="1">
        <f t="shared" si="0"/>
        <v>6008.0999999999995</v>
      </c>
    </row>
    <row r="16" spans="1:3" x14ac:dyDescent="0.25">
      <c r="A16" t="s">
        <v>36</v>
      </c>
      <c r="B16" s="2">
        <v>469.73</v>
      </c>
      <c r="C16" s="1">
        <f t="shared" si="0"/>
        <v>4697.3</v>
      </c>
    </row>
    <row r="17" spans="1:3" x14ac:dyDescent="0.25">
      <c r="A17" t="s">
        <v>38</v>
      </c>
      <c r="B17" s="2">
        <v>36.25</v>
      </c>
      <c r="C17" s="1">
        <f t="shared" si="0"/>
        <v>362.5</v>
      </c>
    </row>
    <row r="18" spans="1:3" x14ac:dyDescent="0.25">
      <c r="A18" t="s">
        <v>40</v>
      </c>
      <c r="B18" s="2">
        <v>1191.53</v>
      </c>
      <c r="C18" s="1">
        <f t="shared" si="0"/>
        <v>11915.3</v>
      </c>
    </row>
    <row r="19" spans="1:3" x14ac:dyDescent="0.25">
      <c r="A19" t="s">
        <v>42</v>
      </c>
      <c r="B19" s="2">
        <v>1167.32</v>
      </c>
      <c r="C19" s="1">
        <f t="shared" si="0"/>
        <v>11673.199999999999</v>
      </c>
    </row>
    <row r="20" spans="1:3" x14ac:dyDescent="0.25">
      <c r="A20" t="s">
        <v>44</v>
      </c>
      <c r="B20" s="2">
        <v>685.84</v>
      </c>
      <c r="C20" s="1">
        <f t="shared" si="0"/>
        <v>6858.4000000000005</v>
      </c>
    </row>
    <row r="21" spans="1:3" x14ac:dyDescent="0.25">
      <c r="A21" t="s">
        <v>46</v>
      </c>
      <c r="B21" s="2">
        <v>244</v>
      </c>
      <c r="C21" s="1">
        <f t="shared" si="0"/>
        <v>2440</v>
      </c>
    </row>
    <row r="22" spans="1:3" x14ac:dyDescent="0.25">
      <c r="A22" t="s">
        <v>48</v>
      </c>
      <c r="B22" s="2">
        <v>131.62</v>
      </c>
      <c r="C22" s="1">
        <f t="shared" si="0"/>
        <v>1316.2</v>
      </c>
    </row>
    <row r="23" spans="1:3" x14ac:dyDescent="0.25">
      <c r="A23" t="s">
        <v>50</v>
      </c>
      <c r="B23" s="2">
        <v>126.3</v>
      </c>
      <c r="C23" s="1">
        <f t="shared" si="0"/>
        <v>1263</v>
      </c>
    </row>
    <row r="24" spans="1:3" x14ac:dyDescent="0.25">
      <c r="A24" t="s">
        <v>52</v>
      </c>
      <c r="B24" s="2">
        <v>50.39</v>
      </c>
      <c r="C24" s="1">
        <f t="shared" si="0"/>
        <v>503.9</v>
      </c>
    </row>
    <row r="25" spans="1:3" x14ac:dyDescent="0.25">
      <c r="A25" t="s">
        <v>54</v>
      </c>
      <c r="B25" s="2">
        <v>5366.46</v>
      </c>
      <c r="C25" s="1">
        <f t="shared" si="0"/>
        <v>53664.6</v>
      </c>
    </row>
    <row r="26" spans="1:3" x14ac:dyDescent="0.25">
      <c r="A26" t="s">
        <v>56</v>
      </c>
      <c r="B26" s="2">
        <v>230.99</v>
      </c>
      <c r="C26" s="1">
        <f t="shared" si="0"/>
        <v>2309.9</v>
      </c>
    </row>
    <row r="27" spans="1:3" x14ac:dyDescent="0.25">
      <c r="A27" t="s">
        <v>58</v>
      </c>
      <c r="B27" s="2">
        <v>216.71</v>
      </c>
      <c r="C27" s="1">
        <f t="shared" si="0"/>
        <v>2167.1</v>
      </c>
    </row>
    <row r="28" spans="1:3" x14ac:dyDescent="0.25">
      <c r="A28" t="s">
        <v>60</v>
      </c>
      <c r="B28" s="2">
        <v>453.46</v>
      </c>
      <c r="C28" s="1">
        <f t="shared" si="0"/>
        <v>4534.5999999999995</v>
      </c>
    </row>
    <row r="29" spans="1:3" x14ac:dyDescent="0.25">
      <c r="A29" t="s">
        <v>62</v>
      </c>
      <c r="B29" s="2">
        <v>48.28</v>
      </c>
      <c r="C29" s="1">
        <f t="shared" si="0"/>
        <v>482.8</v>
      </c>
    </row>
    <row r="30" spans="1:3" x14ac:dyDescent="0.25">
      <c r="A30" t="s">
        <v>64</v>
      </c>
      <c r="B30" s="2">
        <v>73.12</v>
      </c>
      <c r="C30" s="1">
        <f t="shared" si="0"/>
        <v>731.2</v>
      </c>
    </row>
    <row r="31" spans="1:3" x14ac:dyDescent="0.25">
      <c r="A31" t="s">
        <v>66</v>
      </c>
      <c r="B31" s="2">
        <v>3.15</v>
      </c>
      <c r="C31" s="1">
        <f t="shared" si="0"/>
        <v>31.5</v>
      </c>
    </row>
    <row r="32" spans="1:3" x14ac:dyDescent="0.25">
      <c r="A32" t="s">
        <v>68</v>
      </c>
      <c r="B32" s="2">
        <v>22.25</v>
      </c>
      <c r="C32" s="1">
        <f t="shared" si="0"/>
        <v>222.5</v>
      </c>
    </row>
    <row r="33" spans="1:3" x14ac:dyDescent="0.25">
      <c r="A33" t="s">
        <v>70</v>
      </c>
      <c r="B33" s="2">
        <v>165.35</v>
      </c>
      <c r="C33" s="1">
        <f t="shared" si="0"/>
        <v>1653.5</v>
      </c>
    </row>
    <row r="34" spans="1:3" x14ac:dyDescent="0.25">
      <c r="A34" t="s">
        <v>72</v>
      </c>
      <c r="B34" s="2">
        <v>65.36</v>
      </c>
      <c r="C34" s="1">
        <f t="shared" si="0"/>
        <v>653.6</v>
      </c>
    </row>
    <row r="35" spans="1:3" x14ac:dyDescent="0.25">
      <c r="A35" t="s">
        <v>74</v>
      </c>
      <c r="B35" s="2">
        <v>113.78</v>
      </c>
      <c r="C35" s="1">
        <f t="shared" si="0"/>
        <v>1137.8</v>
      </c>
    </row>
    <row r="36" spans="1:3" x14ac:dyDescent="0.25">
      <c r="A36" t="s">
        <v>76</v>
      </c>
      <c r="B36" s="2">
        <v>28.2</v>
      </c>
      <c r="C36" s="1">
        <f t="shared" si="0"/>
        <v>282</v>
      </c>
    </row>
    <row r="37" spans="1:3" x14ac:dyDescent="0.25">
      <c r="A37" t="s">
        <v>78</v>
      </c>
      <c r="B37" s="2">
        <v>94.07</v>
      </c>
      <c r="C37" s="1">
        <f t="shared" si="0"/>
        <v>940.69999999999993</v>
      </c>
    </row>
    <row r="38" spans="1:3" x14ac:dyDescent="0.25">
      <c r="A38" t="s">
        <v>80</v>
      </c>
      <c r="B38" s="2">
        <v>0.56999999999999995</v>
      </c>
      <c r="C38" s="1">
        <f t="shared" si="0"/>
        <v>5.6999999999999993</v>
      </c>
    </row>
    <row r="39" spans="1:3" x14ac:dyDescent="0.25">
      <c r="A39" t="s">
        <v>90</v>
      </c>
      <c r="B39" s="2">
        <v>64.5</v>
      </c>
      <c r="C39" s="1">
        <f t="shared" si="0"/>
        <v>645</v>
      </c>
    </row>
    <row r="40" spans="1:3" x14ac:dyDescent="0.25">
      <c r="A40" t="s">
        <v>91</v>
      </c>
      <c r="B40" s="2">
        <v>25.55</v>
      </c>
      <c r="C40" s="1">
        <f t="shared" si="0"/>
        <v>255.5</v>
      </c>
    </row>
    <row r="41" spans="1:3" x14ac:dyDescent="0.25">
      <c r="A41" t="s">
        <v>94</v>
      </c>
      <c r="B41" s="2">
        <v>117.98</v>
      </c>
      <c r="C41" s="1">
        <f t="shared" si="0"/>
        <v>1179.8</v>
      </c>
    </row>
    <row r="42" spans="1:3" x14ac:dyDescent="0.25">
      <c r="A42" t="s">
        <v>98</v>
      </c>
      <c r="B42" s="2">
        <v>21.93</v>
      </c>
      <c r="C42" s="1">
        <f t="shared" si="0"/>
        <v>219.3</v>
      </c>
    </row>
    <row r="43" spans="1:3" x14ac:dyDescent="0.25">
      <c r="A43" t="s">
        <v>100</v>
      </c>
      <c r="B43" s="2">
        <v>71.56</v>
      </c>
      <c r="C43" s="1">
        <f t="shared" si="0"/>
        <v>715.6</v>
      </c>
    </row>
    <row r="44" spans="1:3" x14ac:dyDescent="0.25">
      <c r="A44" t="s">
        <v>102</v>
      </c>
      <c r="B44" s="2">
        <v>13.88</v>
      </c>
      <c r="C44" s="1">
        <f t="shared" si="0"/>
        <v>138.80000000000001</v>
      </c>
    </row>
    <row r="45" spans="1:3" x14ac:dyDescent="0.25">
      <c r="A45" t="s">
        <v>104</v>
      </c>
      <c r="B45" s="2">
        <v>6.79</v>
      </c>
      <c r="C45" s="1">
        <f t="shared" si="0"/>
        <v>67.900000000000006</v>
      </c>
    </row>
    <row r="46" spans="1:3" x14ac:dyDescent="0.25">
      <c r="A46" t="s">
        <v>107</v>
      </c>
      <c r="B46" s="2">
        <v>47.86</v>
      </c>
      <c r="C46" s="1">
        <f t="shared" si="0"/>
        <v>478.6</v>
      </c>
    </row>
    <row r="47" spans="1:3" x14ac:dyDescent="0.25">
      <c r="A47" t="s">
        <v>109</v>
      </c>
      <c r="B47" s="2">
        <v>0.11</v>
      </c>
      <c r="C47" s="1">
        <f t="shared" si="0"/>
        <v>1.1000000000000001</v>
      </c>
    </row>
    <row r="48" spans="1:3" x14ac:dyDescent="0.25">
      <c r="A48" t="s">
        <v>316</v>
      </c>
      <c r="B48" s="2">
        <v>3.96</v>
      </c>
      <c r="C48" s="1">
        <f t="shared" si="0"/>
        <v>39.6</v>
      </c>
    </row>
    <row r="49" spans="1:3" x14ac:dyDescent="0.25">
      <c r="A49" t="s">
        <v>108</v>
      </c>
      <c r="C49" s="1"/>
    </row>
  </sheetData>
  <autoFilter ref="A1:D40" xr:uid="{30961C46-0029-4758-A26E-A52BD14A37D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Working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Pushpak Vichare</dc:creator>
  <cp:lastModifiedBy>Manoj Kadam</cp:lastModifiedBy>
  <dcterms:created xsi:type="dcterms:W3CDTF">2015-06-05T18:17:20Z</dcterms:created>
  <dcterms:modified xsi:type="dcterms:W3CDTF">2026-03-16T12:30:48Z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2025-06-05T04:33:17Z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32e56be7-aca4-40d9-83d6-c271f1e721ec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